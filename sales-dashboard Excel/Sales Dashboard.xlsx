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7"/>
  <workbookPr/>
  <mc:AlternateContent xmlns:mc="http://schemas.openxmlformats.org/markup-compatibility/2006">
    <mc:Choice Requires="x15">
      <x15ac:absPath xmlns:x15ac="http://schemas.microsoft.com/office/spreadsheetml/2010/11/ac" url="/Users/samleslie/Documents/Humber BIA 2025/Sem3_F25/Data tools 2/class 3 (sep19)/"/>
    </mc:Choice>
  </mc:AlternateContent>
  <xr:revisionPtr revIDLastSave="0" documentId="13_ncr:1_{D56D2B89-822F-7649-9284-646F4DE71B9D}" xr6:coauthVersionLast="47" xr6:coauthVersionMax="47" xr10:uidLastSave="{00000000-0000-0000-0000-000000000000}"/>
  <bookViews>
    <workbookView xWindow="33640" yWindow="1880" windowWidth="30240" windowHeight="17660" xr2:uid="{00000000-000D-0000-FFFF-FFFF00000000}"/>
  </bookViews>
  <sheets>
    <sheet name="Sheet1" sheetId="3" r:id="rId1"/>
    <sheet name="SalesData" sheetId="1" r:id="rId2"/>
  </sheets>
  <definedNames>
    <definedName name="_xlnm._FilterDatabase" localSheetId="1" hidden="1">SalesData!$A$1:$G$13</definedName>
    <definedName name="Slicer_Product">#N/A</definedName>
    <definedName name="Slicer_Region">#N/A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2" i="1"/>
  <c r="F13" i="1"/>
  <c r="G13" i="1"/>
  <c r="F12" i="1"/>
  <c r="G12" i="1"/>
  <c r="E12" i="1"/>
  <c r="E13" i="1"/>
</calcChain>
</file>

<file path=xl/sharedStrings.xml><?xml version="1.0" encoding="utf-8"?>
<sst xmlns="http://schemas.openxmlformats.org/spreadsheetml/2006/main" count="117" uniqueCount="36">
  <si>
    <t>OrderID</t>
  </si>
  <si>
    <t>Date</t>
  </si>
  <si>
    <t>Region</t>
  </si>
  <si>
    <t>Product</t>
  </si>
  <si>
    <t>Sales</t>
  </si>
  <si>
    <t>Quantity</t>
  </si>
  <si>
    <t>Profit</t>
  </si>
  <si>
    <t>East</t>
  </si>
  <si>
    <t>Laptop</t>
  </si>
  <si>
    <t>West</t>
  </si>
  <si>
    <t>Tablet</t>
  </si>
  <si>
    <t>North</t>
  </si>
  <si>
    <t>South</t>
  </si>
  <si>
    <t>Phone</t>
  </si>
  <si>
    <t>Totals:</t>
  </si>
  <si>
    <t>Average:</t>
  </si>
  <si>
    <t>Column Labels</t>
  </si>
  <si>
    <t>Grand Total</t>
  </si>
  <si>
    <t>Row Labels</t>
  </si>
  <si>
    <t>Only "East" Region orders:</t>
  </si>
  <si>
    <t>Sum of Profit</t>
  </si>
  <si>
    <t>Product by highest profit:</t>
  </si>
  <si>
    <t>Sum of Sales</t>
  </si>
  <si>
    <t>Total Sales by Region:</t>
  </si>
  <si>
    <t>Total Profit by Product</t>
  </si>
  <si>
    <t>Profit by Product:</t>
  </si>
  <si>
    <t>Sales over Time:</t>
  </si>
  <si>
    <t>Profit Margin</t>
  </si>
  <si>
    <t>Sum of Quantity</t>
  </si>
  <si>
    <t>Region:</t>
  </si>
  <si>
    <t>Sum of Sales:</t>
  </si>
  <si>
    <t>Sum of Quantity:</t>
  </si>
  <si>
    <t>Sum of Profit:</t>
  </si>
  <si>
    <t>Product:</t>
  </si>
  <si>
    <t>SALES DASHBOARD</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</si>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</sst>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alibri"/>
      <family val="2"/>
      <scheme val="minor"/>
    </font>
    <font>
      <b/>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thin">
        <color indexed="64"/>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0" fontId="2" fillId="0" borderId="0" xfId="0" applyFont="1"/>
    <xf numFmtId="0" fontId="2" fillId="0" borderId="1" xfId="0" applyFont="1" applyBorder="1"/>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14" fontId="0" fillId="0" borderId="0" xfId="0" applyNumberFormat="1" applyAlignment="1">
      <alignment horizontal="left"/>
    </xf>
    <xf numFmtId="2" fontId="0" fillId="2" borderId="0" xfId="0" applyNumberFormat="1" applyFill="1"/>
    <xf numFmtId="0" fontId="2" fillId="0" borderId="0" xfId="0" applyFont="1" applyAlignment="1">
      <alignment horizontal="left"/>
    </xf>
    <xf numFmtId="10" fontId="0" fillId="0" borderId="0" xfId="1" applyNumberFormat="1" applyFont="1"/>
    <xf numFmtId="0" fontId="3" fillId="0" borderId="0" xfId="0" applyFont="1"/>
    <xf numFmtId="0" fontId="2" fillId="0" borderId="2" xfId="0" applyFont="1" applyBorder="1"/>
  </cellXfs>
  <cellStyles count="2">
    <cellStyle name="Normal" xfId="0" builtinId="0"/>
    <cellStyle name="Percent" xfId="1" builtinId="5"/>
  </cellStyles>
  <dxfs count="13">
    <dxf>
      <font>
        <color rgb="FF9C0006"/>
      </font>
      <fill>
        <patternFill>
          <bgColor rgb="FFFFC7CE"/>
        </patternFill>
      </fill>
    </dxf>
    <dxf>
      <font>
        <color rgb="FF9C0006"/>
      </font>
      <fill>
        <patternFill>
          <bgColor rgb="FFFFC7CE"/>
        </patternFill>
      </fill>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9" formatCode="yyyy/mm/dd"/>
    </dxf>
    <dxf>
      <border outline="0">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9.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Dashboard.xlsx]Sheet1!PivotTable6</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Sheet1!$C$21:$C$24</c:f>
              <c:strCache>
                <c:ptCount val="3"/>
                <c:pt idx="0">
                  <c:v>Laptop</c:v>
                </c:pt>
                <c:pt idx="1">
                  <c:v>Tablet</c:v>
                </c:pt>
                <c:pt idx="2">
                  <c:v>Phone</c:v>
                </c:pt>
              </c:strCache>
            </c:strRef>
          </c:cat>
          <c:val>
            <c:numRef>
              <c:f>Sheet1!$D$21:$D$24</c:f>
              <c:numCache>
                <c:formatCode>0.00</c:formatCode>
                <c:ptCount val="3"/>
                <c:pt idx="0">
                  <c:v>6500</c:v>
                </c:pt>
                <c:pt idx="1">
                  <c:v>2400</c:v>
                </c:pt>
                <c:pt idx="2">
                  <c:v>1500</c:v>
                </c:pt>
              </c:numCache>
            </c:numRef>
          </c:val>
          <c:extLst>
            <c:ext xmlns:c16="http://schemas.microsoft.com/office/drawing/2014/chart" uri="{C3380CC4-5D6E-409C-BE32-E72D297353CC}">
              <c16:uniqueId val="{00000000-284C-BB41-B5E9-29414E4B6ADB}"/>
            </c:ext>
          </c:extLst>
        </c:ser>
        <c:dLbls>
          <c:showLegendKey val="0"/>
          <c:showVal val="0"/>
          <c:showCatName val="0"/>
          <c:showSerName val="0"/>
          <c:showPercent val="0"/>
          <c:showBubbleSize val="0"/>
        </c:dLbls>
        <c:gapWidth val="219"/>
        <c:overlap val="-27"/>
        <c:axId val="679617535"/>
        <c:axId val="1021082287"/>
      </c:barChart>
      <c:catAx>
        <c:axId val="679617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1082287"/>
        <c:crosses val="autoZero"/>
        <c:auto val="1"/>
        <c:lblAlgn val="ctr"/>
        <c:lblOffset val="100"/>
        <c:noMultiLvlLbl val="0"/>
      </c:catAx>
      <c:valAx>
        <c:axId val="1021082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617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Sheet1!$G$20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Sheet1!$F$21:$F$24</c:f>
              <c:strCache>
                <c:ptCount val="3"/>
                <c:pt idx="0">
                  <c:v>Laptop</c:v>
                </c:pt>
                <c:pt idx="1">
                  <c:v>Phone</c:v>
                </c:pt>
                <c:pt idx="2">
                  <c:v>Tablet</c:v>
                </c:pt>
              </c:strCache>
            </c:strRef>
          </c:cat>
          <c:val>
            <c:numRef>
              <c:f>Sheet1!$G$21:$G$24</c:f>
              <c:numCache>
                <c:formatCode>0.00</c:formatCode>
                <c:ptCount val="3"/>
                <c:pt idx="0">
                  <c:v>1850</c:v>
                </c:pt>
                <c:pt idx="1">
                  <c:v>750</c:v>
                </c:pt>
                <c:pt idx="2">
                  <c:v>680</c:v>
                </c:pt>
              </c:numCache>
            </c:numRef>
          </c:val>
          <c:extLst>
            <c:ext xmlns:c16="http://schemas.microsoft.com/office/drawing/2014/chart" uri="{C3380CC4-5D6E-409C-BE32-E72D297353CC}">
              <c16:uniqueId val="{00000000-82E1-9F41-B908-7AEC0FE4B018}"/>
            </c:ext>
          </c:extLst>
        </c:ser>
        <c:dLbls>
          <c:showLegendKey val="0"/>
          <c:showVal val="0"/>
          <c:showCatName val="0"/>
          <c:showSerName val="0"/>
          <c:showPercent val="0"/>
          <c:showBubbleSize val="0"/>
        </c:dLbls>
        <c:gapWidth val="219"/>
        <c:overlap val="-27"/>
        <c:axId val="1334731679"/>
        <c:axId val="1331140527"/>
      </c:barChart>
      <c:catAx>
        <c:axId val="133473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140527"/>
        <c:crosses val="autoZero"/>
        <c:auto val="1"/>
        <c:lblAlgn val="ctr"/>
        <c:lblOffset val="100"/>
        <c:noMultiLvlLbl val="0"/>
      </c:catAx>
      <c:valAx>
        <c:axId val="13311405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473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Sheet1!$J$20</c:f>
              <c:strCache>
                <c:ptCount val="1"/>
                <c:pt idx="0">
                  <c:v>Total</c:v>
                </c:pt>
              </c:strCache>
            </c:strRef>
          </c:tx>
          <c:spPr>
            <a:solidFill>
              <a:schemeClr val="accent1"/>
            </a:solidFill>
            <a:ln>
              <a:noFill/>
            </a:ln>
            <a:effectLst/>
          </c:spPr>
          <c:invertIfNegative val="0"/>
          <c:cat>
            <c:strRef>
              <c:f>Sheet1!$I$21:$I$24</c:f>
              <c:strCache>
                <c:ptCount val="3"/>
                <c:pt idx="0">
                  <c:v>Phone</c:v>
                </c:pt>
                <c:pt idx="1">
                  <c:v>Tablet</c:v>
                </c:pt>
                <c:pt idx="2">
                  <c:v>Laptop</c:v>
                </c:pt>
              </c:strCache>
            </c:strRef>
          </c:cat>
          <c:val>
            <c:numRef>
              <c:f>Sheet1!$J$21:$J$24</c:f>
              <c:numCache>
                <c:formatCode>0.00</c:formatCode>
                <c:ptCount val="3"/>
                <c:pt idx="0">
                  <c:v>37</c:v>
                </c:pt>
                <c:pt idx="1">
                  <c:v>18</c:v>
                </c:pt>
                <c:pt idx="2">
                  <c:v>14</c:v>
                </c:pt>
              </c:numCache>
            </c:numRef>
          </c:val>
          <c:extLst>
            <c:ext xmlns:c16="http://schemas.microsoft.com/office/drawing/2014/chart" uri="{C3380CC4-5D6E-409C-BE32-E72D297353CC}">
              <c16:uniqueId val="{00000000-D9FC-B945-9DFF-47C38E30B945}"/>
            </c:ext>
          </c:extLst>
        </c:ser>
        <c:dLbls>
          <c:showLegendKey val="0"/>
          <c:showVal val="0"/>
          <c:showCatName val="0"/>
          <c:showSerName val="0"/>
          <c:showPercent val="0"/>
          <c:showBubbleSize val="0"/>
        </c:dLbls>
        <c:gapWidth val="219"/>
        <c:overlap val="-27"/>
        <c:axId val="1296910479"/>
        <c:axId val="2046390303"/>
      </c:barChart>
      <c:catAx>
        <c:axId val="1296910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390303"/>
        <c:crosses val="autoZero"/>
        <c:auto val="1"/>
        <c:lblAlgn val="ctr"/>
        <c:lblOffset val="100"/>
        <c:noMultiLvlLbl val="0"/>
      </c:catAx>
      <c:valAx>
        <c:axId val="20463903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69104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Sheet1!$D$26</c:f>
              <c:strCache>
                <c:ptCount val="1"/>
                <c:pt idx="0">
                  <c:v>Total</c:v>
                </c:pt>
              </c:strCache>
            </c:strRef>
          </c:tx>
          <c:spPr>
            <a:solidFill>
              <a:schemeClr val="accent1"/>
            </a:solidFill>
            <a:ln>
              <a:noFill/>
            </a:ln>
            <a:effectLst/>
          </c:spPr>
          <c:invertIfNegative val="0"/>
          <c:cat>
            <c:strRef>
              <c:f>Sheet1!$C$27:$C$31</c:f>
              <c:strCache>
                <c:ptCount val="4"/>
                <c:pt idx="0">
                  <c:v>East</c:v>
                </c:pt>
                <c:pt idx="1">
                  <c:v>North</c:v>
                </c:pt>
                <c:pt idx="2">
                  <c:v>South</c:v>
                </c:pt>
                <c:pt idx="3">
                  <c:v>West</c:v>
                </c:pt>
              </c:strCache>
            </c:strRef>
          </c:cat>
          <c:val>
            <c:numRef>
              <c:f>Sheet1!$D$27:$D$31</c:f>
              <c:numCache>
                <c:formatCode>0.00</c:formatCode>
                <c:ptCount val="4"/>
                <c:pt idx="0">
                  <c:v>3700</c:v>
                </c:pt>
                <c:pt idx="1">
                  <c:v>2400</c:v>
                </c:pt>
                <c:pt idx="2">
                  <c:v>1100</c:v>
                </c:pt>
                <c:pt idx="3">
                  <c:v>3200</c:v>
                </c:pt>
              </c:numCache>
            </c:numRef>
          </c:val>
          <c:extLst>
            <c:ext xmlns:c16="http://schemas.microsoft.com/office/drawing/2014/chart" uri="{C3380CC4-5D6E-409C-BE32-E72D297353CC}">
              <c16:uniqueId val="{00000000-619B-3349-9F1C-06776EC61B39}"/>
            </c:ext>
          </c:extLst>
        </c:ser>
        <c:dLbls>
          <c:showLegendKey val="0"/>
          <c:showVal val="0"/>
          <c:showCatName val="0"/>
          <c:showSerName val="0"/>
          <c:showPercent val="0"/>
          <c:showBubbleSize val="0"/>
        </c:dLbls>
        <c:gapWidth val="219"/>
        <c:overlap val="-27"/>
        <c:axId val="1061691935"/>
        <c:axId val="2099246223"/>
      </c:barChart>
      <c:catAx>
        <c:axId val="10616919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9246223"/>
        <c:crosses val="autoZero"/>
        <c:auto val="1"/>
        <c:lblAlgn val="ctr"/>
        <c:lblOffset val="100"/>
        <c:noMultiLvlLbl val="0"/>
      </c:catAx>
      <c:valAx>
        <c:axId val="2099246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691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 by Region</a:t>
            </a:r>
          </a:p>
        </c:rich>
      </c:tx>
      <c:overlay val="0"/>
      <c:spPr>
        <a:noFill/>
        <a:ln>
          <a:noFill/>
        </a:ln>
        <a:effectLst/>
      </c:spPr>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Sheet1!$G$27</c:f>
              <c:strCache>
                <c:ptCount val="1"/>
                <c:pt idx="0">
                  <c:v>Total</c:v>
                </c:pt>
              </c:strCache>
            </c:strRef>
          </c:tx>
          <c:invertIfNegative val="0"/>
          <c:cat>
            <c:strRef>
              <c:f>Sheet1!$F$28:$F$32</c:f>
              <c:strCache>
                <c:ptCount val="4"/>
                <c:pt idx="0">
                  <c:v>West</c:v>
                </c:pt>
                <c:pt idx="1">
                  <c:v>South</c:v>
                </c:pt>
                <c:pt idx="2">
                  <c:v>North</c:v>
                </c:pt>
                <c:pt idx="3">
                  <c:v>East</c:v>
                </c:pt>
              </c:strCache>
            </c:strRef>
          </c:cat>
          <c:val>
            <c:numRef>
              <c:f>Sheet1!$G$28:$G$32</c:f>
              <c:numCache>
                <c:formatCode>0.00</c:formatCode>
                <c:ptCount val="4"/>
                <c:pt idx="0">
                  <c:v>1000</c:v>
                </c:pt>
                <c:pt idx="1">
                  <c:v>550</c:v>
                </c:pt>
                <c:pt idx="2">
                  <c:v>720</c:v>
                </c:pt>
                <c:pt idx="3">
                  <c:v>1010</c:v>
                </c:pt>
              </c:numCache>
            </c:numRef>
          </c:val>
          <c:extLst>
            <c:ext xmlns:c16="http://schemas.microsoft.com/office/drawing/2014/chart" uri="{C3380CC4-5D6E-409C-BE32-E72D297353CC}">
              <c16:uniqueId val="{00000000-3109-0F46-8D01-577980A044E1}"/>
            </c:ext>
          </c:extLst>
        </c:ser>
        <c:dLbls>
          <c:showLegendKey val="0"/>
          <c:showVal val="0"/>
          <c:showCatName val="0"/>
          <c:showSerName val="0"/>
          <c:showPercent val="0"/>
          <c:showBubbleSize val="0"/>
        </c:dLbls>
        <c:gapWidth val="219"/>
        <c:overlap val="-27"/>
        <c:axId val="1065801999"/>
        <c:axId val="1313042479"/>
      </c:barChart>
      <c:catAx>
        <c:axId val="1065801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042479"/>
        <c:crosses val="autoZero"/>
        <c:auto val="1"/>
        <c:lblAlgn val="ctr"/>
        <c:lblOffset val="100"/>
        <c:noMultiLvlLbl val="0"/>
      </c:catAx>
      <c:valAx>
        <c:axId val="13130424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801999"/>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Dashboard.xlsx]Sheet1!PivotTable10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Quantity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Sheet1!$J$26</c:f>
              <c:strCache>
                <c:ptCount val="1"/>
                <c:pt idx="0">
                  <c:v>Total</c:v>
                </c:pt>
              </c:strCache>
            </c:strRef>
          </c:tx>
          <c:spPr>
            <a:solidFill>
              <a:schemeClr val="accent1"/>
            </a:solidFill>
            <a:ln>
              <a:noFill/>
            </a:ln>
            <a:effectLst/>
          </c:spPr>
          <c:invertIfNegative val="0"/>
          <c:cat>
            <c:strRef>
              <c:f>Sheet1!$I$27:$I$31</c:f>
              <c:strCache>
                <c:ptCount val="4"/>
                <c:pt idx="0">
                  <c:v>West</c:v>
                </c:pt>
                <c:pt idx="1">
                  <c:v>South</c:v>
                </c:pt>
                <c:pt idx="2">
                  <c:v>North</c:v>
                </c:pt>
                <c:pt idx="3">
                  <c:v>East</c:v>
                </c:pt>
              </c:strCache>
            </c:strRef>
          </c:cat>
          <c:val>
            <c:numRef>
              <c:f>Sheet1!$J$27:$J$31</c:f>
              <c:numCache>
                <c:formatCode>0.00</c:formatCode>
                <c:ptCount val="4"/>
                <c:pt idx="0">
                  <c:v>24</c:v>
                </c:pt>
                <c:pt idx="1">
                  <c:v>22</c:v>
                </c:pt>
                <c:pt idx="2">
                  <c:v>9</c:v>
                </c:pt>
                <c:pt idx="3">
                  <c:v>14</c:v>
                </c:pt>
              </c:numCache>
            </c:numRef>
          </c:val>
          <c:extLst>
            <c:ext xmlns:c16="http://schemas.microsoft.com/office/drawing/2014/chart" uri="{C3380CC4-5D6E-409C-BE32-E72D297353CC}">
              <c16:uniqueId val="{00000000-5EFE-BC43-9A0C-62B813171601}"/>
            </c:ext>
          </c:extLst>
        </c:ser>
        <c:dLbls>
          <c:showLegendKey val="0"/>
          <c:showVal val="0"/>
          <c:showCatName val="0"/>
          <c:showSerName val="0"/>
          <c:showPercent val="0"/>
          <c:showBubbleSize val="0"/>
        </c:dLbls>
        <c:gapWidth val="219"/>
        <c:overlap val="-27"/>
        <c:axId val="346655584"/>
        <c:axId val="1313390095"/>
      </c:barChart>
      <c:catAx>
        <c:axId val="346655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390095"/>
        <c:crosses val="autoZero"/>
        <c:auto val="1"/>
        <c:lblAlgn val="ctr"/>
        <c:lblOffset val="100"/>
        <c:noMultiLvlLbl val="0"/>
      </c:catAx>
      <c:valAx>
        <c:axId val="13133900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65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over Time</a:t>
            </a:r>
            <a:endParaRPr lang="en-US"/>
          </a:p>
        </c:rich>
      </c:tx>
      <c:overlay val="0"/>
      <c:spPr>
        <a:noFill/>
        <a:ln>
          <a:noFill/>
        </a:ln>
        <a:effectLst/>
      </c:spPr>
    </c:title>
    <c:autoTitleDeleted val="0"/>
    <c:plotArea>
      <c:layout/>
      <c:lineChart>
        <c:grouping val="standard"/>
        <c:varyColors val="0"/>
        <c:ser>
          <c:idx val="1"/>
          <c:order val="0"/>
          <c:marker>
            <c:symbol val="none"/>
          </c:marker>
          <c:cat>
            <c:numRef>
              <c:f>Sheet1!$Q$21:$Q$30</c:f>
              <c:numCache>
                <c:formatCode>m/d/yy</c:formatCode>
                <c:ptCount val="10"/>
                <c:pt idx="0">
                  <c:v>45296</c:v>
                </c:pt>
                <c:pt idx="1">
                  <c:v>45299</c:v>
                </c:pt>
                <c:pt idx="2">
                  <c:v>45303</c:v>
                </c:pt>
                <c:pt idx="3">
                  <c:v>45309</c:v>
                </c:pt>
                <c:pt idx="4">
                  <c:v>45313</c:v>
                </c:pt>
                <c:pt idx="5">
                  <c:v>45323</c:v>
                </c:pt>
                <c:pt idx="6">
                  <c:v>45327</c:v>
                </c:pt>
                <c:pt idx="7">
                  <c:v>45332</c:v>
                </c:pt>
                <c:pt idx="8">
                  <c:v>45337</c:v>
                </c:pt>
                <c:pt idx="9">
                  <c:v>45342</c:v>
                </c:pt>
              </c:numCache>
            </c:numRef>
          </c:cat>
          <c:val>
            <c:numRef>
              <c:f>Sheet1!$R$21:$R$30</c:f>
              <c:numCache>
                <c:formatCode>0.00</c:formatCode>
                <c:ptCount val="10"/>
                <c:pt idx="0">
                  <c:v>1200</c:v>
                </c:pt>
                <c:pt idx="1">
                  <c:v>800</c:v>
                </c:pt>
                <c:pt idx="2">
                  <c:v>1500</c:v>
                </c:pt>
                <c:pt idx="3">
                  <c:v>600</c:v>
                </c:pt>
                <c:pt idx="4">
                  <c:v>700</c:v>
                </c:pt>
                <c:pt idx="5">
                  <c:v>2000</c:v>
                </c:pt>
                <c:pt idx="6">
                  <c:v>500</c:v>
                </c:pt>
                <c:pt idx="7">
                  <c:v>900</c:v>
                </c:pt>
                <c:pt idx="8">
                  <c:v>1800</c:v>
                </c:pt>
                <c:pt idx="9">
                  <c:v>400</c:v>
                </c:pt>
              </c:numCache>
            </c:numRef>
          </c:val>
          <c:smooth val="0"/>
          <c:extLst>
            <c:ext xmlns:c16="http://schemas.microsoft.com/office/drawing/2014/chart" uri="{C3380CC4-5D6E-409C-BE32-E72D297353CC}">
              <c16:uniqueId val="{00000005-F675-954C-8BF7-10C1B0C245B3}"/>
            </c:ext>
          </c:extLst>
        </c:ser>
        <c:ser>
          <c:idx val="0"/>
          <c:order val="1"/>
          <c:spPr>
            <a:ln w="28575" cap="rnd">
              <a:solidFill>
                <a:schemeClr val="accent1"/>
              </a:solidFill>
              <a:round/>
            </a:ln>
            <a:effectLst/>
          </c:spPr>
          <c:marker>
            <c:symbol val="none"/>
          </c:marker>
          <c:cat>
            <c:numRef>
              <c:f>Sheet1!$Q$21:$Q$30</c:f>
              <c:numCache>
                <c:formatCode>m/d/yy</c:formatCode>
                <c:ptCount val="10"/>
                <c:pt idx="0">
                  <c:v>45296</c:v>
                </c:pt>
                <c:pt idx="1">
                  <c:v>45299</c:v>
                </c:pt>
                <c:pt idx="2">
                  <c:v>45303</c:v>
                </c:pt>
                <c:pt idx="3">
                  <c:v>45309</c:v>
                </c:pt>
                <c:pt idx="4">
                  <c:v>45313</c:v>
                </c:pt>
                <c:pt idx="5">
                  <c:v>45323</c:v>
                </c:pt>
                <c:pt idx="6">
                  <c:v>45327</c:v>
                </c:pt>
                <c:pt idx="7">
                  <c:v>45332</c:v>
                </c:pt>
                <c:pt idx="8">
                  <c:v>45337</c:v>
                </c:pt>
                <c:pt idx="9">
                  <c:v>45342</c:v>
                </c:pt>
              </c:numCache>
            </c:numRef>
          </c:cat>
          <c:val>
            <c:numRef>
              <c:f>Sheet1!$R$21:$R$30</c:f>
              <c:numCache>
                <c:formatCode>0.00</c:formatCode>
                <c:ptCount val="10"/>
                <c:pt idx="0">
                  <c:v>1200</c:v>
                </c:pt>
                <c:pt idx="1">
                  <c:v>800</c:v>
                </c:pt>
                <c:pt idx="2">
                  <c:v>1500</c:v>
                </c:pt>
                <c:pt idx="3">
                  <c:v>600</c:v>
                </c:pt>
                <c:pt idx="4">
                  <c:v>700</c:v>
                </c:pt>
                <c:pt idx="5">
                  <c:v>2000</c:v>
                </c:pt>
                <c:pt idx="6">
                  <c:v>500</c:v>
                </c:pt>
                <c:pt idx="7">
                  <c:v>900</c:v>
                </c:pt>
                <c:pt idx="8">
                  <c:v>1800</c:v>
                </c:pt>
                <c:pt idx="9">
                  <c:v>400</c:v>
                </c:pt>
              </c:numCache>
            </c:numRef>
          </c:val>
          <c:smooth val="0"/>
          <c:extLst>
            <c:ext xmlns:c16="http://schemas.microsoft.com/office/drawing/2014/chart" uri="{C3380CC4-5D6E-409C-BE32-E72D297353CC}">
              <c16:uniqueId val="{00000004-F675-954C-8BF7-10C1B0C245B3}"/>
            </c:ext>
          </c:extLst>
        </c:ser>
        <c:dLbls>
          <c:showLegendKey val="0"/>
          <c:showVal val="0"/>
          <c:showCatName val="0"/>
          <c:showSerName val="0"/>
          <c:showPercent val="0"/>
          <c:showBubbleSize val="0"/>
        </c:dLbls>
        <c:smooth val="0"/>
        <c:axId val="290619552"/>
        <c:axId val="286512224"/>
      </c:lineChart>
      <c:dateAx>
        <c:axId val="290619552"/>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512224"/>
        <c:crosses val="autoZero"/>
        <c:auto val="1"/>
        <c:lblOffset val="100"/>
        <c:baseTimeUnit val="days"/>
      </c:dateAx>
      <c:valAx>
        <c:axId val="286512224"/>
        <c:scaling>
          <c:orientation val="minMax"/>
          <c:max val="210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195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Profit over Time</a:t>
            </a:r>
            <a:endParaRPr lang="en-US"/>
          </a:p>
        </c:rich>
      </c:tx>
      <c:overlay val="0"/>
      <c:spPr>
        <a:noFill/>
        <a:ln>
          <a:noFill/>
        </a:ln>
        <a:effectLst/>
      </c:spPr>
    </c:title>
    <c:autoTitleDeleted val="0"/>
    <c:plotArea>
      <c:layout/>
      <c:lineChart>
        <c:grouping val="standard"/>
        <c:varyColors val="0"/>
        <c:ser>
          <c:idx val="1"/>
          <c:order val="0"/>
          <c:tx>
            <c:v>Profit over Time</c:v>
          </c:tx>
          <c:spPr>
            <a:ln>
              <a:solidFill>
                <a:schemeClr val="accent2"/>
              </a:solidFill>
            </a:ln>
          </c:spPr>
          <c:marker>
            <c:symbol val="none"/>
          </c:marker>
          <c:cat>
            <c:numRef>
              <c:f>Sheet1!$Q$21:$Q$30</c:f>
              <c:numCache>
                <c:formatCode>m/d/yy</c:formatCode>
                <c:ptCount val="10"/>
                <c:pt idx="0">
                  <c:v>45296</c:v>
                </c:pt>
                <c:pt idx="1">
                  <c:v>45299</c:v>
                </c:pt>
                <c:pt idx="2">
                  <c:v>45303</c:v>
                </c:pt>
                <c:pt idx="3">
                  <c:v>45309</c:v>
                </c:pt>
                <c:pt idx="4">
                  <c:v>45313</c:v>
                </c:pt>
                <c:pt idx="5">
                  <c:v>45323</c:v>
                </c:pt>
                <c:pt idx="6">
                  <c:v>45327</c:v>
                </c:pt>
                <c:pt idx="7">
                  <c:v>45332</c:v>
                </c:pt>
                <c:pt idx="8">
                  <c:v>45337</c:v>
                </c:pt>
                <c:pt idx="9">
                  <c:v>45342</c:v>
                </c:pt>
              </c:numCache>
            </c:numRef>
          </c:cat>
          <c:val>
            <c:numRef>
              <c:f>Sheet1!$S$21:$S$30</c:f>
              <c:numCache>
                <c:formatCode>0.00</c:formatCode>
                <c:ptCount val="10"/>
                <c:pt idx="0">
                  <c:v>300</c:v>
                </c:pt>
                <c:pt idx="1">
                  <c:v>200</c:v>
                </c:pt>
                <c:pt idx="2">
                  <c:v>450</c:v>
                </c:pt>
                <c:pt idx="3">
                  <c:v>250</c:v>
                </c:pt>
                <c:pt idx="4">
                  <c:v>210</c:v>
                </c:pt>
                <c:pt idx="5">
                  <c:v>600</c:v>
                </c:pt>
                <c:pt idx="6">
                  <c:v>300</c:v>
                </c:pt>
                <c:pt idx="7">
                  <c:v>270</c:v>
                </c:pt>
                <c:pt idx="8">
                  <c:v>500</c:v>
                </c:pt>
                <c:pt idx="9">
                  <c:v>200</c:v>
                </c:pt>
              </c:numCache>
            </c:numRef>
          </c:val>
          <c:smooth val="0"/>
          <c:extLst>
            <c:ext xmlns:c16="http://schemas.microsoft.com/office/drawing/2014/chart" uri="{C3380CC4-5D6E-409C-BE32-E72D297353CC}">
              <c16:uniqueId val="{00000003-6082-5043-97D9-958601677F71}"/>
            </c:ext>
          </c:extLst>
        </c:ser>
        <c:ser>
          <c:idx val="0"/>
          <c:order val="1"/>
          <c:tx>
            <c:v>Profit over Time</c:v>
          </c:tx>
          <c:spPr>
            <a:ln w="28575" cap="rnd">
              <a:solidFill>
                <a:schemeClr val="accent2"/>
              </a:solidFill>
              <a:round/>
            </a:ln>
            <a:effectLst/>
          </c:spPr>
          <c:marker>
            <c:symbol val="none"/>
          </c:marker>
          <c:cat>
            <c:numRef>
              <c:f>Sheet1!$Q$21:$Q$30</c:f>
              <c:numCache>
                <c:formatCode>m/d/yy</c:formatCode>
                <c:ptCount val="10"/>
                <c:pt idx="0">
                  <c:v>45296</c:v>
                </c:pt>
                <c:pt idx="1">
                  <c:v>45299</c:v>
                </c:pt>
                <c:pt idx="2">
                  <c:v>45303</c:v>
                </c:pt>
                <c:pt idx="3">
                  <c:v>45309</c:v>
                </c:pt>
                <c:pt idx="4">
                  <c:v>45313</c:v>
                </c:pt>
                <c:pt idx="5">
                  <c:v>45323</c:v>
                </c:pt>
                <c:pt idx="6">
                  <c:v>45327</c:v>
                </c:pt>
                <c:pt idx="7">
                  <c:v>45332</c:v>
                </c:pt>
                <c:pt idx="8">
                  <c:v>45337</c:v>
                </c:pt>
                <c:pt idx="9">
                  <c:v>45342</c:v>
                </c:pt>
              </c:numCache>
            </c:numRef>
          </c:cat>
          <c:val>
            <c:numRef>
              <c:f>Sheet1!$S$21:$S$30</c:f>
              <c:numCache>
                <c:formatCode>0.00</c:formatCode>
                <c:ptCount val="10"/>
                <c:pt idx="0">
                  <c:v>300</c:v>
                </c:pt>
                <c:pt idx="1">
                  <c:v>200</c:v>
                </c:pt>
                <c:pt idx="2">
                  <c:v>450</c:v>
                </c:pt>
                <c:pt idx="3">
                  <c:v>250</c:v>
                </c:pt>
                <c:pt idx="4">
                  <c:v>210</c:v>
                </c:pt>
                <c:pt idx="5">
                  <c:v>600</c:v>
                </c:pt>
                <c:pt idx="6">
                  <c:v>300</c:v>
                </c:pt>
                <c:pt idx="7">
                  <c:v>270</c:v>
                </c:pt>
                <c:pt idx="8">
                  <c:v>500</c:v>
                </c:pt>
                <c:pt idx="9">
                  <c:v>200</c:v>
                </c:pt>
              </c:numCache>
            </c:numRef>
          </c:val>
          <c:smooth val="0"/>
          <c:extLst>
            <c:ext xmlns:c16="http://schemas.microsoft.com/office/drawing/2014/chart" uri="{C3380CC4-5D6E-409C-BE32-E72D297353CC}">
              <c16:uniqueId val="{00000002-6082-5043-97D9-958601677F71}"/>
            </c:ext>
          </c:extLst>
        </c:ser>
        <c:dLbls>
          <c:showLegendKey val="0"/>
          <c:showVal val="0"/>
          <c:showCatName val="0"/>
          <c:showSerName val="0"/>
          <c:showPercent val="0"/>
          <c:showBubbleSize val="0"/>
        </c:dLbls>
        <c:smooth val="0"/>
        <c:axId val="290619552"/>
        <c:axId val="286512224"/>
      </c:lineChart>
      <c:dateAx>
        <c:axId val="290619552"/>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512224"/>
        <c:crosses val="autoZero"/>
        <c:auto val="1"/>
        <c:lblOffset val="100"/>
        <c:baseTimeUnit val="days"/>
      </c:dateAx>
      <c:valAx>
        <c:axId val="286512224"/>
        <c:scaling>
          <c:orientation val="minMax"/>
          <c:max val="65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1955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Quantity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Profit over Time</c:v>
          </c:tx>
          <c:spPr>
            <a:ln w="28575" cap="rnd">
              <a:solidFill>
                <a:schemeClr val="bg2">
                  <a:lumMod val="50000"/>
                </a:schemeClr>
              </a:solidFill>
              <a:round/>
            </a:ln>
            <a:effectLst/>
          </c:spPr>
          <c:marker>
            <c:symbol val="none"/>
          </c:marker>
          <c:cat>
            <c:numRef>
              <c:f>Sheet1!$Q$21:$Q$30</c:f>
              <c:numCache>
                <c:formatCode>m/d/yy</c:formatCode>
                <c:ptCount val="10"/>
                <c:pt idx="0">
                  <c:v>45296</c:v>
                </c:pt>
                <c:pt idx="1">
                  <c:v>45299</c:v>
                </c:pt>
                <c:pt idx="2">
                  <c:v>45303</c:v>
                </c:pt>
                <c:pt idx="3">
                  <c:v>45309</c:v>
                </c:pt>
                <c:pt idx="4">
                  <c:v>45313</c:v>
                </c:pt>
                <c:pt idx="5">
                  <c:v>45323</c:v>
                </c:pt>
                <c:pt idx="6">
                  <c:v>45327</c:v>
                </c:pt>
                <c:pt idx="7">
                  <c:v>45332</c:v>
                </c:pt>
                <c:pt idx="8">
                  <c:v>45337</c:v>
                </c:pt>
                <c:pt idx="9">
                  <c:v>45342</c:v>
                </c:pt>
              </c:numCache>
            </c:numRef>
          </c:cat>
          <c:val>
            <c:numRef>
              <c:f>Sheet1!$T$21:$T$30</c:f>
              <c:numCache>
                <c:formatCode>0.00</c:formatCode>
                <c:ptCount val="10"/>
                <c:pt idx="0">
                  <c:v>2</c:v>
                </c:pt>
                <c:pt idx="1">
                  <c:v>5</c:v>
                </c:pt>
                <c:pt idx="2">
                  <c:v>3</c:v>
                </c:pt>
                <c:pt idx="3">
                  <c:v>10</c:v>
                </c:pt>
                <c:pt idx="4">
                  <c:v>7</c:v>
                </c:pt>
                <c:pt idx="5">
                  <c:v>4</c:v>
                </c:pt>
                <c:pt idx="6">
                  <c:v>12</c:v>
                </c:pt>
                <c:pt idx="7">
                  <c:v>6</c:v>
                </c:pt>
                <c:pt idx="8">
                  <c:v>5</c:v>
                </c:pt>
                <c:pt idx="9">
                  <c:v>15</c:v>
                </c:pt>
              </c:numCache>
            </c:numRef>
          </c:val>
          <c:smooth val="0"/>
          <c:extLst>
            <c:ext xmlns:c16="http://schemas.microsoft.com/office/drawing/2014/chart" uri="{C3380CC4-5D6E-409C-BE32-E72D297353CC}">
              <c16:uniqueId val="{00000000-A1D2-484B-9CC6-377E79A72463}"/>
            </c:ext>
          </c:extLst>
        </c:ser>
        <c:dLbls>
          <c:showLegendKey val="0"/>
          <c:showVal val="0"/>
          <c:showCatName val="0"/>
          <c:showSerName val="0"/>
          <c:showPercent val="0"/>
          <c:showBubbleSize val="0"/>
        </c:dLbls>
        <c:smooth val="0"/>
        <c:axId val="290619552"/>
        <c:axId val="286512224"/>
      </c:lineChart>
      <c:dateAx>
        <c:axId val="290619552"/>
        <c:scaling>
          <c:orientation val="minMax"/>
        </c:scaling>
        <c:delete val="0"/>
        <c:axPos val="b"/>
        <c:numFmt formatCode="m/d/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512224"/>
        <c:crosses val="autoZero"/>
        <c:auto val="1"/>
        <c:lblOffset val="100"/>
        <c:baseTimeUnit val="days"/>
      </c:dateAx>
      <c:valAx>
        <c:axId val="286512224"/>
        <c:scaling>
          <c:orientation val="minMax"/>
          <c:max val="2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0619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by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34F08D8-98FF-6942-8319-ACA55A978835}" type="VALUE">
                  <a:rPr lang="en-US" sz="700"/>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781BCEA-C4C0-9E42-B961-F5C380E69541}" type="VALUE">
                  <a:rPr lang="en-US" sz="7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69543745738031"/>
                  <c:h val="8.4632774375076644E-2"/>
                </c:manualLayout>
              </c15:layout>
              <c15:dlblFieldTable/>
              <c15:showDataLabelsRange val="0"/>
            </c:ext>
          </c:extLst>
        </c:dLbl>
      </c:pivotFmt>
    </c:pivotFmts>
    <c:plotArea>
      <c:layout/>
      <c:barChart>
        <c:barDir val="col"/>
        <c:grouping val="clustered"/>
        <c:varyColors val="0"/>
        <c:ser>
          <c:idx val="0"/>
          <c:order val="0"/>
          <c:tx>
            <c:strRef>
              <c:f>SalesData!$B$33:$B$34</c:f>
              <c:strCache>
                <c:ptCount val="1"/>
                <c:pt idx="0">
                  <c:v>Tablet</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5-5C24-4242-B9F3-3A92F7351535}"/>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781BCEA-C4C0-9E42-B961-F5C380E69541}" type="VALUE">
                      <a:rPr lang="en-US" sz="700"/>
                      <a:pPr>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7969543745738031"/>
                      <c:h val="8.4632774375076644E-2"/>
                    </c:manualLayout>
                  </c15:layout>
                  <c15:dlblFieldTable/>
                  <c15:showDataLabelsRange val="0"/>
                </c:ext>
                <c:ext xmlns:c16="http://schemas.microsoft.com/office/drawing/2014/chart" uri="{C3380CC4-5D6E-409C-BE32-E72D297353CC}">
                  <c16:uniqueId val="{00000005-5C24-4242-B9F3-3A92F73515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SalesData!$A$35</c:f>
              <c:strCache>
                <c:ptCount val="1"/>
                <c:pt idx="0">
                  <c:v>Total</c:v>
                </c:pt>
              </c:strCache>
            </c:strRef>
          </c:cat>
          <c:val>
            <c:numRef>
              <c:f>SalesData!$B$35</c:f>
              <c:numCache>
                <c:formatCode>0.00</c:formatCode>
                <c:ptCount val="1"/>
                <c:pt idx="0">
                  <c:v>680</c:v>
                </c:pt>
              </c:numCache>
            </c:numRef>
          </c:val>
          <c:extLst>
            <c:ext xmlns:c16="http://schemas.microsoft.com/office/drawing/2014/chart" uri="{C3380CC4-5D6E-409C-BE32-E72D297353CC}">
              <c16:uniqueId val="{00000001-5C24-4242-B9F3-3A92F7351535}"/>
            </c:ext>
          </c:extLst>
        </c:ser>
        <c:ser>
          <c:idx val="1"/>
          <c:order val="1"/>
          <c:tx>
            <c:strRef>
              <c:f>SalesData!$C$33:$C$34</c:f>
              <c:strCache>
                <c:ptCount val="1"/>
                <c:pt idx="0">
                  <c:v>Phone</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7-5C24-4242-B9F3-3A92F7351535}"/>
              </c:ext>
            </c:extLst>
          </c:dPt>
          <c:dLbls>
            <c:dLbl>
              <c:idx val="0"/>
              <c:tx>
                <c:rich>
                  <a:bodyPr/>
                  <a:lstStyle/>
                  <a:p>
                    <a:fld id="{434F08D8-98FF-6942-8319-ACA55A978835}" type="VALUE">
                      <a:rPr lang="en-US" sz="700"/>
                      <a:pPr/>
                      <a:t>[VALUE]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5C24-4242-B9F3-3A92F735153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SalesData!$A$35</c:f>
              <c:strCache>
                <c:ptCount val="1"/>
                <c:pt idx="0">
                  <c:v>Total</c:v>
                </c:pt>
              </c:strCache>
            </c:strRef>
          </c:cat>
          <c:val>
            <c:numRef>
              <c:f>SalesData!$C$35</c:f>
              <c:numCache>
                <c:formatCode>0.00</c:formatCode>
                <c:ptCount val="1"/>
                <c:pt idx="0">
                  <c:v>750</c:v>
                </c:pt>
              </c:numCache>
            </c:numRef>
          </c:val>
          <c:extLst>
            <c:ext xmlns:c16="http://schemas.microsoft.com/office/drawing/2014/chart" uri="{C3380CC4-5D6E-409C-BE32-E72D297353CC}">
              <c16:uniqueId val="{00000002-5C24-4242-B9F3-3A92F7351535}"/>
            </c:ext>
          </c:extLst>
        </c:ser>
        <c:ser>
          <c:idx val="2"/>
          <c:order val="2"/>
          <c:tx>
            <c:strRef>
              <c:f>SalesData!$D$33:$D$34</c:f>
              <c:strCache>
                <c:ptCount val="1"/>
                <c:pt idx="0">
                  <c:v>Laptop</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6-5C24-4242-B9F3-3A92F7351535}"/>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5C24-4242-B9F3-3A92F735153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SalesData!$A$35</c:f>
              <c:strCache>
                <c:ptCount val="1"/>
                <c:pt idx="0">
                  <c:v>Total</c:v>
                </c:pt>
              </c:strCache>
            </c:strRef>
          </c:cat>
          <c:val>
            <c:numRef>
              <c:f>SalesData!$D$35</c:f>
              <c:numCache>
                <c:formatCode>0.00</c:formatCode>
                <c:ptCount val="1"/>
                <c:pt idx="0">
                  <c:v>1850</c:v>
                </c:pt>
              </c:numCache>
            </c:numRef>
          </c:val>
          <c:extLst>
            <c:ext xmlns:c16="http://schemas.microsoft.com/office/drawing/2014/chart" uri="{C3380CC4-5D6E-409C-BE32-E72D297353CC}">
              <c16:uniqueId val="{00000003-5C24-4242-B9F3-3A92F7351535}"/>
            </c:ext>
          </c:extLst>
        </c:ser>
        <c:dLbls>
          <c:showLegendKey val="0"/>
          <c:showVal val="0"/>
          <c:showCatName val="0"/>
          <c:showSerName val="0"/>
          <c:showPercent val="0"/>
          <c:showBubbleSize val="0"/>
        </c:dLbls>
        <c:gapWidth val="219"/>
        <c:overlap val="-27"/>
        <c:axId val="1885169152"/>
        <c:axId val="1884420160"/>
      </c:barChart>
      <c:catAx>
        <c:axId val="1885169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4420160"/>
        <c:crosses val="autoZero"/>
        <c:auto val="1"/>
        <c:lblAlgn val="ctr"/>
        <c:lblOffset val="100"/>
        <c:tickLblSkip val="1"/>
        <c:noMultiLvlLbl val="0"/>
      </c:catAx>
      <c:valAx>
        <c:axId val="188442016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in"/>
        <c:minorTickMark val="in"/>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5169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SalesData!$B$2:$B$11</c:f>
              <c:numCache>
                <c:formatCode>m/d/yy</c:formatCode>
                <c:ptCount val="10"/>
                <c:pt idx="0">
                  <c:v>45296</c:v>
                </c:pt>
                <c:pt idx="1">
                  <c:v>45299</c:v>
                </c:pt>
                <c:pt idx="2">
                  <c:v>45303</c:v>
                </c:pt>
                <c:pt idx="3">
                  <c:v>45309</c:v>
                </c:pt>
                <c:pt idx="4">
                  <c:v>45313</c:v>
                </c:pt>
                <c:pt idx="5">
                  <c:v>45323</c:v>
                </c:pt>
                <c:pt idx="6">
                  <c:v>45327</c:v>
                </c:pt>
                <c:pt idx="7">
                  <c:v>45332</c:v>
                </c:pt>
                <c:pt idx="8">
                  <c:v>45337</c:v>
                </c:pt>
                <c:pt idx="9">
                  <c:v>45342</c:v>
                </c:pt>
              </c:numCache>
            </c:numRef>
          </c:cat>
          <c:val>
            <c:numRef>
              <c:f>SalesData!$E$2:$E$11</c:f>
              <c:numCache>
                <c:formatCode>0.00</c:formatCode>
                <c:ptCount val="10"/>
                <c:pt idx="0">
                  <c:v>1200</c:v>
                </c:pt>
                <c:pt idx="1">
                  <c:v>800</c:v>
                </c:pt>
                <c:pt idx="2">
                  <c:v>1500</c:v>
                </c:pt>
                <c:pt idx="3">
                  <c:v>600</c:v>
                </c:pt>
                <c:pt idx="4">
                  <c:v>700</c:v>
                </c:pt>
                <c:pt idx="5">
                  <c:v>2000</c:v>
                </c:pt>
                <c:pt idx="6">
                  <c:v>500</c:v>
                </c:pt>
                <c:pt idx="7">
                  <c:v>900</c:v>
                </c:pt>
                <c:pt idx="8">
                  <c:v>1800</c:v>
                </c:pt>
                <c:pt idx="9">
                  <c:v>400</c:v>
                </c:pt>
              </c:numCache>
            </c:numRef>
          </c:val>
          <c:smooth val="0"/>
          <c:extLst>
            <c:ext xmlns:c16="http://schemas.microsoft.com/office/drawing/2014/chart" uri="{C3380CC4-5D6E-409C-BE32-E72D297353CC}">
              <c16:uniqueId val="{00000000-6771-0341-B0F0-6C54A5514237}"/>
            </c:ext>
          </c:extLst>
        </c:ser>
        <c:dLbls>
          <c:showLegendKey val="0"/>
          <c:showVal val="0"/>
          <c:showCatName val="0"/>
          <c:showSerName val="0"/>
          <c:showPercent val="0"/>
          <c:showBubbleSize val="0"/>
        </c:dLbls>
        <c:marker val="1"/>
        <c:smooth val="0"/>
        <c:axId val="1244569167"/>
        <c:axId val="1244748767"/>
      </c:lineChart>
      <c:dateAx>
        <c:axId val="1244569167"/>
        <c:scaling>
          <c:orientation val="minMax"/>
        </c:scaling>
        <c:delete val="0"/>
        <c:axPos val="b"/>
        <c:numFmt formatCode="m/d/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748767"/>
        <c:crosses val="autoZero"/>
        <c:auto val="0"/>
        <c:lblOffset val="100"/>
        <c:baseTimeUnit val="days"/>
      </c:dateAx>
      <c:valAx>
        <c:axId val="124474876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569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25400</xdr:colOff>
      <xdr:row>1</xdr:row>
      <xdr:rowOff>146245</xdr:rowOff>
    </xdr:from>
    <xdr:to>
      <xdr:col>0</xdr:col>
      <xdr:colOff>1573078</xdr:colOff>
      <xdr:row>8</xdr:row>
      <xdr:rowOff>139701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BF396D9C-4B33-3D5D-7072-D2F030CB4E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5400" y="476445"/>
              <a:ext cx="1547678" cy="13269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23861</xdr:colOff>
      <xdr:row>10</xdr:row>
      <xdr:rowOff>112760</xdr:rowOff>
    </xdr:from>
    <xdr:to>
      <xdr:col>0</xdr:col>
      <xdr:colOff>1598479</xdr:colOff>
      <xdr:row>16</xdr:row>
      <xdr:rowOff>114300</xdr:rowOff>
    </xdr:to>
    <mc:AlternateContent xmlns:mc="http://schemas.openxmlformats.org/markup-compatibility/2006" xmlns:a14="http://schemas.microsoft.com/office/drawing/2010/main">
      <mc:Choice Requires="a14">
        <xdr:graphicFrame macro="">
          <xdr:nvGraphicFramePr>
            <xdr:cNvPr id="4" name="Product">
              <a:extLst>
                <a:ext uri="{FF2B5EF4-FFF2-40B4-BE49-F238E27FC236}">
                  <a16:creationId xmlns:a16="http://schemas.microsoft.com/office/drawing/2014/main" id="{2CD7DE20-F3A7-7EDF-0A91-490DB40DC34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3861" y="2157460"/>
              <a:ext cx="1574618" cy="11445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726035</xdr:colOff>
      <xdr:row>1</xdr:row>
      <xdr:rowOff>168136</xdr:rowOff>
    </xdr:from>
    <xdr:to>
      <xdr:col>4</xdr:col>
      <xdr:colOff>233680</xdr:colOff>
      <xdr:row>10</xdr:row>
      <xdr:rowOff>30480</xdr:rowOff>
    </xdr:to>
    <xdr:graphicFrame macro="">
      <xdr:nvGraphicFramePr>
        <xdr:cNvPr id="7" name="Chart 6">
          <a:extLst>
            <a:ext uri="{FF2B5EF4-FFF2-40B4-BE49-F238E27FC236}">
              <a16:creationId xmlns:a16="http://schemas.microsoft.com/office/drawing/2014/main" id="{3B515E27-789F-AA62-7CA2-164BFB92D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553720</xdr:colOff>
      <xdr:row>1</xdr:row>
      <xdr:rowOff>167640</xdr:rowOff>
    </xdr:from>
    <xdr:to>
      <xdr:col>7</xdr:col>
      <xdr:colOff>467360</xdr:colOff>
      <xdr:row>10</xdr:row>
      <xdr:rowOff>10160</xdr:rowOff>
    </xdr:to>
    <xdr:graphicFrame macro="">
      <xdr:nvGraphicFramePr>
        <xdr:cNvPr id="9" name="Chart 8">
          <a:extLst>
            <a:ext uri="{FF2B5EF4-FFF2-40B4-BE49-F238E27FC236}">
              <a16:creationId xmlns:a16="http://schemas.microsoft.com/office/drawing/2014/main" id="{C450BED2-DA7A-309F-AB78-1C34B8B05B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655320</xdr:colOff>
      <xdr:row>1</xdr:row>
      <xdr:rowOff>157480</xdr:rowOff>
    </xdr:from>
    <xdr:to>
      <xdr:col>10</xdr:col>
      <xdr:colOff>406400</xdr:colOff>
      <xdr:row>10</xdr:row>
      <xdr:rowOff>0</xdr:rowOff>
    </xdr:to>
    <xdr:graphicFrame macro="">
      <xdr:nvGraphicFramePr>
        <xdr:cNvPr id="10" name="Chart 9">
          <a:extLst>
            <a:ext uri="{FF2B5EF4-FFF2-40B4-BE49-F238E27FC236}">
              <a16:creationId xmlns:a16="http://schemas.microsoft.com/office/drawing/2014/main" id="{8A64BD4B-BE4A-1389-6C28-38072AC79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685800</xdr:colOff>
      <xdr:row>10</xdr:row>
      <xdr:rowOff>157480</xdr:rowOff>
    </xdr:from>
    <xdr:to>
      <xdr:col>4</xdr:col>
      <xdr:colOff>142240</xdr:colOff>
      <xdr:row>17</xdr:row>
      <xdr:rowOff>182880</xdr:rowOff>
    </xdr:to>
    <xdr:graphicFrame macro="">
      <xdr:nvGraphicFramePr>
        <xdr:cNvPr id="11" name="Chart 10">
          <a:extLst>
            <a:ext uri="{FF2B5EF4-FFF2-40B4-BE49-F238E27FC236}">
              <a16:creationId xmlns:a16="http://schemas.microsoft.com/office/drawing/2014/main" id="{7E5C0948-4791-B596-E546-213B9A5CB5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553190</xdr:colOff>
      <xdr:row>10</xdr:row>
      <xdr:rowOff>167205</xdr:rowOff>
    </xdr:from>
    <xdr:to>
      <xdr:col>7</xdr:col>
      <xdr:colOff>467484</xdr:colOff>
      <xdr:row>18</xdr:row>
      <xdr:rowOff>15584</xdr:rowOff>
    </xdr:to>
    <xdr:graphicFrame macro="">
      <xdr:nvGraphicFramePr>
        <xdr:cNvPr id="13" name="Chart 12">
          <a:extLst>
            <a:ext uri="{FF2B5EF4-FFF2-40B4-BE49-F238E27FC236}">
              <a16:creationId xmlns:a16="http://schemas.microsoft.com/office/drawing/2014/main" id="{446BF621-5658-3FF0-FDA4-4F21336F30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663049</xdr:colOff>
      <xdr:row>10</xdr:row>
      <xdr:rowOff>159412</xdr:rowOff>
    </xdr:from>
    <xdr:to>
      <xdr:col>10</xdr:col>
      <xdr:colOff>405154</xdr:colOff>
      <xdr:row>18</xdr:row>
      <xdr:rowOff>15583</xdr:rowOff>
    </xdr:to>
    <xdr:graphicFrame macro="">
      <xdr:nvGraphicFramePr>
        <xdr:cNvPr id="14" name="Chart 13">
          <a:extLst>
            <a:ext uri="{FF2B5EF4-FFF2-40B4-BE49-F238E27FC236}">
              <a16:creationId xmlns:a16="http://schemas.microsoft.com/office/drawing/2014/main" id="{1AD9FE6E-FD28-8781-5500-01200DA1C3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762881</xdr:colOff>
      <xdr:row>1</xdr:row>
      <xdr:rowOff>184497</xdr:rowOff>
    </xdr:from>
    <xdr:to>
      <xdr:col>15</xdr:col>
      <xdr:colOff>14432</xdr:colOff>
      <xdr:row>18</xdr:row>
      <xdr:rowOff>86590</xdr:rowOff>
    </xdr:to>
    <xdr:graphicFrame macro="">
      <xdr:nvGraphicFramePr>
        <xdr:cNvPr id="19" name="Chart 18">
          <a:extLst>
            <a:ext uri="{FF2B5EF4-FFF2-40B4-BE49-F238E27FC236}">
              <a16:creationId xmlns:a16="http://schemas.microsoft.com/office/drawing/2014/main" id="{0802517F-0523-E34B-F9C1-7D11ACAB5F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245341</xdr:colOff>
      <xdr:row>2</xdr:row>
      <xdr:rowOff>14431</xdr:rowOff>
    </xdr:from>
    <xdr:to>
      <xdr:col>19</xdr:col>
      <xdr:colOff>736023</xdr:colOff>
      <xdr:row>18</xdr:row>
      <xdr:rowOff>72159</xdr:rowOff>
    </xdr:to>
    <xdr:graphicFrame macro="">
      <xdr:nvGraphicFramePr>
        <xdr:cNvPr id="20" name="Chart 19">
          <a:extLst>
            <a:ext uri="{FF2B5EF4-FFF2-40B4-BE49-F238E27FC236}">
              <a16:creationId xmlns:a16="http://schemas.microsoft.com/office/drawing/2014/main" id="{C363E344-1566-544B-B13D-B3C9BEAF7A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20</xdr:col>
      <xdr:colOff>72160</xdr:colOff>
      <xdr:row>2</xdr:row>
      <xdr:rowOff>28864</xdr:rowOff>
    </xdr:from>
    <xdr:to>
      <xdr:col>26</xdr:col>
      <xdr:colOff>167826</xdr:colOff>
      <xdr:row>18</xdr:row>
      <xdr:rowOff>21791</xdr:rowOff>
    </xdr:to>
    <xdr:graphicFrame macro="">
      <xdr:nvGraphicFramePr>
        <xdr:cNvPr id="21" name="Chart 20">
          <a:extLst>
            <a:ext uri="{FF2B5EF4-FFF2-40B4-BE49-F238E27FC236}">
              <a16:creationId xmlns:a16="http://schemas.microsoft.com/office/drawing/2014/main" id="{C1085E88-26FA-634E-ACF3-184B7982A0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38746</xdr:colOff>
      <xdr:row>37</xdr:row>
      <xdr:rowOff>63429</xdr:rowOff>
    </xdr:from>
    <xdr:to>
      <xdr:col>3</xdr:col>
      <xdr:colOff>100452</xdr:colOff>
      <xdr:row>48</xdr:row>
      <xdr:rowOff>93277</xdr:rowOff>
    </xdr:to>
    <xdr:graphicFrame macro="">
      <xdr:nvGraphicFramePr>
        <xdr:cNvPr id="2" name="Chart 1">
          <a:extLst>
            <a:ext uri="{FF2B5EF4-FFF2-40B4-BE49-F238E27FC236}">
              <a16:creationId xmlns:a16="http://schemas.microsoft.com/office/drawing/2014/main" id="{497D4E99-499C-D0E1-5350-20E646FFE3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52101</xdr:colOff>
      <xdr:row>50</xdr:row>
      <xdr:rowOff>84479</xdr:rowOff>
    </xdr:from>
    <xdr:to>
      <xdr:col>4</xdr:col>
      <xdr:colOff>129352</xdr:colOff>
      <xdr:row>60</xdr:row>
      <xdr:rowOff>82315</xdr:rowOff>
    </xdr:to>
    <xdr:graphicFrame macro="">
      <xdr:nvGraphicFramePr>
        <xdr:cNvPr id="4" name="Chart 3">
          <a:extLst>
            <a:ext uri="{FF2B5EF4-FFF2-40B4-BE49-F238E27FC236}">
              <a16:creationId xmlns:a16="http://schemas.microsoft.com/office/drawing/2014/main" id="{D195715D-54AC-6F02-67D3-BA4E9D108D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m Leslie" refreshedDate="45919.824548958335" createdVersion="8" refreshedVersion="8" minRefreshableVersion="3" recordCount="10" xr:uid="{FF8A2590-C9F2-9C40-BCCE-2BE929B90B6F}">
  <cacheSource type="worksheet">
    <worksheetSource name="Table1"/>
  </cacheSource>
  <cacheFields count="9">
    <cacheField name="OrderID" numFmtId="0">
      <sharedItems containsSemiMixedTypes="0" containsString="0" containsNumber="1" containsInteger="1" minValue="1001" maxValue="1010"/>
    </cacheField>
    <cacheField name="Date" numFmtId="14">
      <sharedItems containsSemiMixedTypes="0" containsNonDate="0" containsDate="1" containsString="0" minDate="2024-01-05T00:00:00" maxDate="2024-02-21T00:00:00" count="10">
        <d v="2024-01-05T00:00:00"/>
        <d v="2024-01-08T00:00:00"/>
        <d v="2024-01-12T00:00:00"/>
        <d v="2024-01-18T00:00:00"/>
        <d v="2024-01-22T00:00:00"/>
        <d v="2024-02-01T00:00:00"/>
        <d v="2024-02-05T00:00:00"/>
        <d v="2024-02-10T00:00:00"/>
        <d v="2024-02-15T00:00:00"/>
        <d v="2024-02-20T00:00:00"/>
      </sharedItems>
      <fieldGroup par="8"/>
    </cacheField>
    <cacheField name="Region" numFmtId="0">
      <sharedItems count="4">
        <s v="East"/>
        <s v="West"/>
        <s v="North"/>
        <s v="South"/>
      </sharedItems>
    </cacheField>
    <cacheField name="Product" numFmtId="0">
      <sharedItems count="3">
        <s v="Laptop"/>
        <s v="Tablet"/>
        <s v="Phone"/>
      </sharedItems>
    </cacheField>
    <cacheField name="Sales" numFmtId="2">
      <sharedItems containsSemiMixedTypes="0" containsString="0" containsNumber="1" containsInteger="1" minValue="400" maxValue="2000" count="10">
        <n v="1200"/>
        <n v="800"/>
        <n v="1500"/>
        <n v="600"/>
        <n v="700"/>
        <n v="2000"/>
        <n v="500"/>
        <n v="900"/>
        <n v="1800"/>
        <n v="400"/>
      </sharedItems>
    </cacheField>
    <cacheField name="Quantity" numFmtId="2">
      <sharedItems containsSemiMixedTypes="0" containsString="0" containsNumber="1" containsInteger="1" minValue="2" maxValue="15"/>
    </cacheField>
    <cacheField name="Profit" numFmtId="2">
      <sharedItems containsSemiMixedTypes="0" containsString="0" containsNumber="1" containsInteger="1" minValue="200" maxValue="600"/>
    </cacheField>
    <cacheField name="Days (Date)" numFmtId="0" databaseField="0">
      <fieldGroup base="1">
        <rangePr groupBy="days" startDate="2024-01-05T00:00:00" endDate="2024-02-21T00:00:00"/>
        <groupItems count="368">
          <s v="&lt;2024-01-0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024-02-21"/>
        </groupItems>
      </fieldGroup>
    </cacheField>
    <cacheField name="Months (Date)" numFmtId="0" databaseField="0">
      <fieldGroup base="1">
        <rangePr groupBy="months" startDate="2024-01-05T00:00:00" endDate="2024-02-21T00:00:00"/>
        <groupItems count="14">
          <s v="&lt;2024-01-05"/>
          <s v="Jan"/>
          <s v="Feb"/>
          <s v="Mar"/>
          <s v="Apr"/>
          <s v="May"/>
          <s v="Jun"/>
          <s v="Jul"/>
          <s v="Aug"/>
          <s v="Sep"/>
          <s v="Oct"/>
          <s v="Nov"/>
          <s v="Dec"/>
          <s v="&gt;2024-02-21"/>
        </groupItems>
      </fieldGroup>
    </cacheField>
  </cacheFields>
  <extLst>
    <ext xmlns:x14="http://schemas.microsoft.com/office/spreadsheetml/2009/9/main" uri="{725AE2AE-9491-48be-B2B4-4EB974FC3084}">
      <x14:pivotCacheDefinition pivotCacheId="18265963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001"/>
    <x v="0"/>
    <x v="0"/>
    <x v="0"/>
    <x v="0"/>
    <n v="2"/>
    <n v="300"/>
  </r>
  <r>
    <n v="1002"/>
    <x v="1"/>
    <x v="1"/>
    <x v="1"/>
    <x v="1"/>
    <n v="5"/>
    <n v="200"/>
  </r>
  <r>
    <n v="1003"/>
    <x v="2"/>
    <x v="2"/>
    <x v="0"/>
    <x v="2"/>
    <n v="3"/>
    <n v="450"/>
  </r>
  <r>
    <n v="1004"/>
    <x v="3"/>
    <x v="3"/>
    <x v="2"/>
    <x v="3"/>
    <n v="10"/>
    <n v="250"/>
  </r>
  <r>
    <n v="1005"/>
    <x v="4"/>
    <x v="0"/>
    <x v="1"/>
    <x v="4"/>
    <n v="7"/>
    <n v="210"/>
  </r>
  <r>
    <n v="1006"/>
    <x v="5"/>
    <x v="1"/>
    <x v="0"/>
    <x v="5"/>
    <n v="4"/>
    <n v="600"/>
  </r>
  <r>
    <n v="1007"/>
    <x v="6"/>
    <x v="3"/>
    <x v="2"/>
    <x v="6"/>
    <n v="12"/>
    <n v="300"/>
  </r>
  <r>
    <n v="1008"/>
    <x v="7"/>
    <x v="2"/>
    <x v="1"/>
    <x v="7"/>
    <n v="6"/>
    <n v="270"/>
  </r>
  <r>
    <n v="1009"/>
    <x v="8"/>
    <x v="0"/>
    <x v="0"/>
    <x v="8"/>
    <n v="5"/>
    <n v="500"/>
  </r>
  <r>
    <n v="1010"/>
    <x v="9"/>
    <x v="1"/>
    <x v="2"/>
    <x v="9"/>
    <n v="15"/>
    <n v="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909514-BF2E-B44E-9383-D0B597B7A27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I26:J31" firstHeaderRow="1" firstDataRow="1" firstDataCol="1"/>
  <pivotFields count="9">
    <pivotField showAll="0"/>
    <pivotField numFmtId="14" showAll="0">
      <items count="11">
        <item x="0"/>
        <item x="1"/>
        <item x="2"/>
        <item x="3"/>
        <item x="4"/>
        <item x="5"/>
        <item x="6"/>
        <item x="7"/>
        <item x="8"/>
        <item x="9"/>
        <item t="default"/>
      </items>
    </pivotField>
    <pivotField axis="axisRow" showAll="0" sortType="descending">
      <items count="5">
        <item x="1"/>
        <item x="3"/>
        <item x="2"/>
        <item x="0"/>
        <item t="default"/>
      </items>
    </pivotField>
    <pivotField showAll="0">
      <items count="4">
        <item x="0"/>
        <item h="1" x="2"/>
        <item h="1" x="1"/>
        <item t="default"/>
      </items>
    </pivotField>
    <pivotField numFmtId="2" showAll="0">
      <items count="11">
        <item x="9"/>
        <item x="6"/>
        <item x="3"/>
        <item x="4"/>
        <item x="1"/>
        <item x="7"/>
        <item x="0"/>
        <item x="2"/>
        <item x="8"/>
        <item x="5"/>
        <item t="default"/>
      </items>
    </pivotField>
    <pivotField dataField="1"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Quantity" fld="5"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DFC4919-5DE5-4047-9326-A6F53FBA712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C26:D31" firstHeaderRow="1" firstDataRow="1" firstDataCol="1"/>
  <pivotFields count="9">
    <pivotField showAll="0"/>
    <pivotField numFmtId="14" showAll="0">
      <items count="11">
        <item x="0"/>
        <item x="1"/>
        <item x="2"/>
        <item x="3"/>
        <item x="4"/>
        <item x="5"/>
        <item x="6"/>
        <item x="7"/>
        <item x="8"/>
        <item x="9"/>
        <item t="default"/>
      </items>
    </pivotField>
    <pivotField axis="axisRow" showAll="0">
      <items count="5">
        <item x="0"/>
        <item x="2"/>
        <item x="3"/>
        <item x="1"/>
        <item t="default"/>
      </items>
    </pivotField>
    <pivotField showAll="0">
      <items count="4">
        <item x="0"/>
        <item h="1" x="2"/>
        <item h="1" x="1"/>
        <item t="default"/>
      </items>
    </pivotField>
    <pivotField dataField="1" numFmtId="2" showAll="0">
      <items count="11">
        <item x="9"/>
        <item x="6"/>
        <item x="3"/>
        <item x="4"/>
        <item x="1"/>
        <item x="7"/>
        <item x="0"/>
        <item x="2"/>
        <item x="8"/>
        <item x="5"/>
        <item t="default"/>
      </items>
    </pivotField>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Sales:" fld="4"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B9B2637-E3BD-614B-BB40-0C6C80BD6360}"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F27:G32" firstHeaderRow="1" firstDataRow="1" firstDataCol="1"/>
  <pivotFields count="9">
    <pivotField showAll="0"/>
    <pivotField numFmtId="14" showAll="0">
      <items count="11">
        <item x="0"/>
        <item x="1"/>
        <item x="2"/>
        <item x="3"/>
        <item x="4"/>
        <item x="5"/>
        <item x="6"/>
        <item x="7"/>
        <item x="8"/>
        <item x="9"/>
        <item t="default"/>
      </items>
    </pivotField>
    <pivotField axis="axisRow" showAll="0" sortType="descending">
      <items count="5">
        <item x="1"/>
        <item x="3"/>
        <item x="2"/>
        <item x="0"/>
        <item t="default"/>
      </items>
    </pivotField>
    <pivotField showAll="0">
      <items count="4">
        <item x="0"/>
        <item h="1" x="2"/>
        <item h="1" x="1"/>
        <item t="default"/>
      </items>
    </pivotField>
    <pivotField numFmtId="2" showAll="0">
      <items count="11">
        <item x="9"/>
        <item x="6"/>
        <item x="3"/>
        <item x="4"/>
        <item x="1"/>
        <item x="7"/>
        <item x="0"/>
        <item x="2"/>
        <item x="8"/>
        <item x="5"/>
        <item t="default"/>
      </items>
    </pivotField>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5">
    <i>
      <x/>
    </i>
    <i>
      <x v="1"/>
    </i>
    <i>
      <x v="2"/>
    </i>
    <i>
      <x v="3"/>
    </i>
    <i t="grand">
      <x/>
    </i>
  </rowItems>
  <colItems count="1">
    <i/>
  </colItems>
  <dataFields count="1">
    <dataField name="Sum of Profit:" fld="6" baseField="0" baseItem="0" numFmtId="2"/>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F72822-32BE-7A45-B9B9-8DEEAFEF6F3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I20:J24" firstHeaderRow="1" firstDataRow="1" firstDataCol="1"/>
  <pivotFields count="9">
    <pivotField showAll="0"/>
    <pivotField numFmtId="14" showAll="0">
      <items count="11">
        <item x="0"/>
        <item x="1"/>
        <item x="2"/>
        <item x="3"/>
        <item x="4"/>
        <item x="5"/>
        <item x="6"/>
        <item x="7"/>
        <item x="8"/>
        <item x="9"/>
        <item t="default"/>
      </items>
    </pivotField>
    <pivotField showAll="0">
      <items count="5">
        <item x="0"/>
        <item x="2"/>
        <item x="3"/>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 showAll="0">
      <items count="11">
        <item x="9"/>
        <item x="6"/>
        <item x="3"/>
        <item x="4"/>
        <item x="1"/>
        <item x="7"/>
        <item x="0"/>
        <item x="2"/>
        <item x="8"/>
        <item x="5"/>
        <item t="default"/>
      </items>
    </pivotField>
    <pivotField dataField="1"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v="1"/>
    </i>
    <i>
      <x v="2"/>
    </i>
    <i>
      <x/>
    </i>
    <i t="grand">
      <x/>
    </i>
  </rowItems>
  <colItems count="1">
    <i/>
  </colItems>
  <dataFields count="1">
    <dataField name="Sum of Quantity:" fld="5" baseField="0" baseItem="0" numFmtId="2"/>
  </dataFields>
  <chartFormats count="3">
    <chartFormat chart="0" format="1"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1B75C6-E1F6-2F4E-8DD4-3E3A2623B75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duct:">
  <location ref="F20:G24" firstHeaderRow="1" firstDataRow="1" firstDataCol="1"/>
  <pivotFields count="9">
    <pivotField showAll="0"/>
    <pivotField numFmtId="14" showAll="0">
      <items count="11">
        <item x="0"/>
        <item x="1"/>
        <item x="2"/>
        <item x="3"/>
        <item x="4"/>
        <item x="5"/>
        <item x="6"/>
        <item x="7"/>
        <item x="8"/>
        <item x="9"/>
        <item t="default"/>
      </items>
    </pivotField>
    <pivotField showAll="0">
      <items count="5">
        <item x="0"/>
        <item x="2"/>
        <item x="3"/>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 showAll="0">
      <items count="11">
        <item x="9"/>
        <item x="6"/>
        <item x="3"/>
        <item x="4"/>
        <item x="1"/>
        <item x="7"/>
        <item x="0"/>
        <item x="2"/>
        <item x="8"/>
        <item x="5"/>
        <item t="default"/>
      </items>
    </pivotField>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Profit" fld="6" baseField="0" baseItem="0" numFmtId="2"/>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2E24D7-F2B7-E443-9A96-9214973DC6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Product:">
  <location ref="C20:D24" firstHeaderRow="1" firstDataRow="1" firstDataCol="1"/>
  <pivotFields count="9">
    <pivotField showAll="0"/>
    <pivotField numFmtId="14" showAll="0">
      <items count="11">
        <item x="0"/>
        <item x="1"/>
        <item x="2"/>
        <item x="3"/>
        <item x="4"/>
        <item x="5"/>
        <item x="6"/>
        <item x="7"/>
        <item x="8"/>
        <item x="9"/>
        <item t="default"/>
      </items>
    </pivotField>
    <pivotField showAll="0">
      <items count="5">
        <item x="0"/>
        <item x="2"/>
        <item x="3"/>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dataField="1" numFmtId="2" showAll="0">
      <items count="11">
        <item x="9"/>
        <item x="6"/>
        <item x="3"/>
        <item x="4"/>
        <item x="1"/>
        <item x="7"/>
        <item x="0"/>
        <item x="2"/>
        <item x="8"/>
        <item x="5"/>
        <item t="default"/>
      </items>
    </pivotField>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2"/>
    </i>
    <i>
      <x v="1"/>
    </i>
    <i t="grand">
      <x/>
    </i>
  </rowItems>
  <colItems count="1">
    <i/>
  </colItems>
  <dataFields count="1">
    <dataField name="Sum of Sales:" fld="4" baseField="0" baseItem="0" numFmtId="2"/>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FD72E6-6D8F-984E-957D-C1083F3F9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Date:">
  <location ref="L20:O31" firstHeaderRow="0" firstDataRow="1" firstDataCol="1"/>
  <pivotFields count="9">
    <pivotField showAll="0"/>
    <pivotField axis="axisRow" numFmtId="14" showAll="0" sortType="ascending">
      <items count="11">
        <item x="0"/>
        <item x="1"/>
        <item x="2"/>
        <item x="3"/>
        <item x="4"/>
        <item x="5"/>
        <item x="6"/>
        <item x="7"/>
        <item x="8"/>
        <item x="9"/>
        <item t="default"/>
      </items>
    </pivotField>
    <pivotField showAll="0">
      <items count="5">
        <item x="0"/>
        <item x="2"/>
        <item x="3"/>
        <item x="1"/>
        <item t="default"/>
      </items>
    </pivotField>
    <pivotField showAll="0">
      <items count="4">
        <item x="0"/>
        <item x="2"/>
        <item x="1"/>
        <item t="default"/>
      </items>
    </pivotField>
    <pivotField dataField="1" numFmtId="2" showAll="0">
      <items count="11">
        <item x="9"/>
        <item x="6"/>
        <item x="3"/>
        <item x="4"/>
        <item x="1"/>
        <item x="7"/>
        <item x="0"/>
        <item x="2"/>
        <item x="8"/>
        <item x="5"/>
        <item t="default"/>
      </items>
    </pivotField>
    <pivotField dataField="1" numFmtId="2" showAll="0"/>
    <pivotField dataField="1" numFmtId="2"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11">
    <i>
      <x/>
    </i>
    <i>
      <x v="1"/>
    </i>
    <i>
      <x v="2"/>
    </i>
    <i>
      <x v="3"/>
    </i>
    <i>
      <x v="4"/>
    </i>
    <i>
      <x v="5"/>
    </i>
    <i>
      <x v="6"/>
    </i>
    <i>
      <x v="7"/>
    </i>
    <i>
      <x v="8"/>
    </i>
    <i>
      <x v="9"/>
    </i>
    <i t="grand">
      <x/>
    </i>
  </rowItems>
  <colFields count="1">
    <field x="-2"/>
  </colFields>
  <colItems count="3">
    <i>
      <x/>
    </i>
    <i i="1">
      <x v="1"/>
    </i>
    <i i="2">
      <x v="2"/>
    </i>
  </colItems>
  <dataFields count="3">
    <dataField name="Sum of Sales" fld="4" baseField="0" baseItem="0" numFmtId="2"/>
    <dataField name="Sum of Profit" fld="6" baseField="0" baseItem="0" numFmtId="2"/>
    <dataField name="Sum of Quantity" fld="5" baseField="0" baseItem="0" numFmtId="2"/>
  </dataFields>
  <chartFormats count="6">
    <chartFormat chart="4"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4"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AAA99EF-E465-E843-B083-404AA08E284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3:B27" firstHeaderRow="1" firstDataRow="1" firstDataCol="1"/>
  <pivotFields count="9">
    <pivotField showAll="0"/>
    <pivotField numFmtId="14" showAll="0">
      <items count="11">
        <item x="0"/>
        <item x="1"/>
        <item x="2"/>
        <item x="3"/>
        <item x="4"/>
        <item x="5"/>
        <item x="6"/>
        <item x="7"/>
        <item x="8"/>
        <item x="9"/>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4">
    <i>
      <x/>
    </i>
    <i>
      <x v="1"/>
    </i>
    <i>
      <x v="2"/>
    </i>
    <i t="grand">
      <x/>
    </i>
  </rowItems>
  <colItems count="1">
    <i/>
  </colItems>
  <dataFields count="1">
    <dataField name="Sum of Profit"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634EEE-DEEE-6141-B093-5385F7451A8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E35" firstHeaderRow="1" firstDataRow="2" firstDataCol="1"/>
  <pivotFields count="9">
    <pivotField showAll="0"/>
    <pivotField numFmtId="14" showAll="0">
      <items count="11">
        <item x="0"/>
        <item x="1"/>
        <item x="2"/>
        <item x="3"/>
        <item x="4"/>
        <item x="5"/>
        <item x="6"/>
        <item x="7"/>
        <item x="8"/>
        <item x="9"/>
        <item t="default"/>
      </items>
    </pivotField>
    <pivotField showAll="0">
      <items count="5">
        <item x="0"/>
        <item x="2"/>
        <item x="3"/>
        <item x="1"/>
        <item t="default"/>
      </items>
    </pivotField>
    <pivotField axis="axisCol" showAll="0" sortType="ascending">
      <items count="4">
        <item x="0"/>
        <item x="2"/>
        <item x="1"/>
        <item t="default"/>
      </items>
      <autoSortScope>
        <pivotArea dataOnly="0" outline="0" fieldPosition="0">
          <references count="1">
            <reference field="4294967294" count="1" selected="0">
              <x v="0"/>
            </reference>
          </references>
        </pivotArea>
      </autoSortScope>
    </pivotField>
    <pivotField numFmtId="2" showAll="0"/>
    <pivotField numFmtId="2" showAll="0"/>
    <pivotField dataField="1"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3"/>
  </colFields>
  <colItems count="4">
    <i>
      <x v="2"/>
    </i>
    <i>
      <x v="1"/>
    </i>
    <i>
      <x/>
    </i>
    <i t="grand">
      <x/>
    </i>
  </colItems>
  <dataFields count="1">
    <dataField name="Sum of Profit" fld="6" baseField="0" baseItem="0" numFmtId="2"/>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series="1">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1"/>
          </reference>
        </references>
      </pivotArea>
    </chartFormat>
    <chartFormat chart="0" format="4" series="1">
      <pivotArea type="data" outline="0" fieldPosition="0">
        <references count="2">
          <reference field="4294967294" count="1" selected="0">
            <x v="0"/>
          </reference>
          <reference field="3" count="1" selected="0">
            <x v="2"/>
          </reference>
        </references>
      </pivotArea>
    </chartFormat>
    <chartFormat chart="0" format="5">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3EEFCC-205F-8949-AF0F-E467EC1901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F31" firstHeaderRow="1" firstDataRow="2" firstDataCol="1"/>
  <pivotFields count="9">
    <pivotField showAll="0"/>
    <pivotField numFmtId="14" showAll="0">
      <items count="11">
        <item x="0"/>
        <item x="1"/>
        <item x="2"/>
        <item x="3"/>
        <item x="4"/>
        <item x="5"/>
        <item x="6"/>
        <item x="7"/>
        <item x="8"/>
        <item x="9"/>
        <item t="default"/>
      </items>
    </pivotField>
    <pivotField axis="axisCol" showAll="0">
      <items count="5">
        <item x="0"/>
        <item x="2"/>
        <item x="3"/>
        <item x="1"/>
        <item t="default"/>
      </items>
    </pivotField>
    <pivotField showAll="0"/>
    <pivotField dataField="1" numFmtId="2" showAll="0"/>
    <pivotField numFmtId="2" showAll="0"/>
    <pivotField numFmtId="2"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x v="1"/>
    </i>
    <i>
      <x v="2"/>
    </i>
    <i>
      <x v="3"/>
    </i>
    <i t="grand">
      <x/>
    </i>
  </colItems>
  <dataFields count="1">
    <dataField name="Sum of Sales" fld="4"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97B772-25F2-1B40-AB0F-903184F33D12}" sourceName="Region">
  <pivotTables>
    <pivotTable tabId="3" name="PivotTable5"/>
    <pivotTable tabId="3" name="PivotTable9"/>
    <pivotTable tabId="3" name="PivotTable10"/>
  </pivotTables>
  <data>
    <tabular pivotCacheId="1826596319">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EAD86AB3-6904-2345-A0CC-94D58FE0B8C9}" sourceName="Product">
  <pivotTables>
    <pivotTable tabId="3" name="PivotTable6"/>
    <pivotTable tabId="3" name="PivotTable7"/>
    <pivotTable tabId="3" name="PivotTable8"/>
    <pivotTable tabId="3" name="PivotTable12"/>
  </pivotTables>
  <data>
    <tabular pivotCacheId="18265963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D605B0C-08B0-3C4C-951A-A7349BF00D30}" cache="Slicer_Region" caption="Region" rowHeight="230716"/>
  <slicer name="Product" xr10:uid="{56E5D07F-4D71-3E46-9392-6E7A95C0FB47}" cache="Slicer_Product" caption="Product"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3ABBDA-2411-A945-A7F9-F2BC5D3AA08F}" name="Table1" displayName="Table1" ref="A1:H11" headerRowDxfId="12" headerRowBorderDxfId="11" tableBorderDxfId="10">
  <autoFilter ref="A1:H11" xr:uid="{D03ABBDA-2411-A945-A7F9-F2BC5D3AA08F}"/>
  <sortState xmlns:xlrd2="http://schemas.microsoft.com/office/spreadsheetml/2017/richdata2" ref="A2:H11">
    <sortCondition ref="A1:A11"/>
  </sortState>
  <tableColumns count="8">
    <tableColumn id="1" xr3:uid="{035DF75F-C31B-D14A-B444-AB193668DC70}" name="OrderID" totalsRowLabel="Total"/>
    <tableColumn id="2" xr3:uid="{2D7C53E8-6AC4-F043-9BC7-B02C8CA4FF57}" name="Date" dataDxfId="9"/>
    <tableColumn id="3" xr3:uid="{0AE6184F-073D-A642-A599-862F48976B86}" name="Region"/>
    <tableColumn id="4" xr3:uid="{3445A8A5-8803-9345-82EA-7E70FBB069AD}" name="Product"/>
    <tableColumn id="5" xr3:uid="{1789095F-9AB7-B44E-B005-F354CADFD6B7}" name="Sales" totalsRowFunction="sum" dataDxfId="8" totalsRowDxfId="7"/>
    <tableColumn id="6" xr3:uid="{52725FD6-EE3A-CA4E-A2FC-7A881349E2DA}" name="Quantity" totalsRowFunction="sum" dataDxfId="6" totalsRowDxfId="5"/>
    <tableColumn id="7" xr3:uid="{E19DEA44-93CF-0E4D-B468-0CE934088D88}" name="Profit" totalsRowFunction="sum" dataDxfId="4" totalsRowDxfId="3"/>
    <tableColumn id="8" xr3:uid="{4C516868-D266-594B-8E36-12F1AEADD16D}" name="Profit Margin" dataDxfId="2" dataCellStyle="Percent">
      <calculatedColumnFormula>Table1[[#This Row],[Profit]]/Table1[[#This Row],[Sales]]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5" Type="http://schemas.openxmlformats.org/officeDocument/2006/relationships/table" Target="../tables/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E7F0E-310B-EF4A-AD23-599C05D0E259}">
  <dimension ref="B1:T32"/>
  <sheetViews>
    <sheetView tabSelected="1" workbookViewId="0">
      <pane xSplit="1" topLeftCell="B1" activePane="topRight" state="frozen"/>
      <selection pane="topRight" activeCell="X22" sqref="X22"/>
    </sheetView>
  </sheetViews>
  <sheetFormatPr baseColWidth="10" defaultRowHeight="15" x14ac:dyDescent="0.2"/>
  <cols>
    <col min="1" max="1" width="21.83203125" customWidth="1"/>
    <col min="2" max="2" width="11.33203125" bestFit="1" customWidth="1"/>
    <col min="3" max="3" width="10.33203125" bestFit="1" customWidth="1"/>
    <col min="4" max="4" width="11" bestFit="1" customWidth="1"/>
    <col min="5" max="6" width="10.33203125" bestFit="1" customWidth="1"/>
    <col min="7" max="7" width="11" bestFit="1" customWidth="1"/>
    <col min="8" max="8" width="11.5" bestFit="1" customWidth="1"/>
    <col min="9" max="9" width="10.33203125" bestFit="1" customWidth="1"/>
    <col min="10" max="10" width="14" bestFit="1" customWidth="1"/>
    <col min="11" max="11" width="13.5" bestFit="1" customWidth="1"/>
    <col min="12" max="12" width="10.1640625" bestFit="1" customWidth="1"/>
    <col min="13" max="13" width="10.5" bestFit="1" customWidth="1"/>
    <col min="14" max="14" width="11" bestFit="1" customWidth="1"/>
    <col min="15" max="15" width="13.5" bestFit="1" customWidth="1"/>
    <col min="16" max="16" width="10.33203125" bestFit="1" customWidth="1"/>
    <col min="17" max="17" width="10.6640625" bestFit="1" customWidth="1"/>
    <col min="18" max="18" width="11" bestFit="1" customWidth="1"/>
    <col min="20" max="20" width="13.5" bestFit="1" customWidth="1"/>
  </cols>
  <sheetData>
    <row r="1" spans="2:3" ht="26" x14ac:dyDescent="0.3">
      <c r="B1" s="11" t="s">
        <v>34</v>
      </c>
      <c r="C1" s="11"/>
    </row>
    <row r="20" spans="3:20" x14ac:dyDescent="0.2">
      <c r="C20" s="5" t="s">
        <v>33</v>
      </c>
      <c r="D20" t="s">
        <v>30</v>
      </c>
      <c r="F20" s="5" t="s">
        <v>33</v>
      </c>
      <c r="G20" t="s">
        <v>20</v>
      </c>
      <c r="I20" s="5" t="s">
        <v>33</v>
      </c>
      <c r="J20" t="s">
        <v>31</v>
      </c>
      <c r="L20" s="5" t="s">
        <v>35</v>
      </c>
      <c r="M20" t="s">
        <v>22</v>
      </c>
      <c r="N20" t="s">
        <v>20</v>
      </c>
      <c r="O20" t="s">
        <v>28</v>
      </c>
      <c r="Q20" s="1" t="s">
        <v>35</v>
      </c>
      <c r="R20" s="1" t="s">
        <v>30</v>
      </c>
      <c r="S20" s="12" t="s">
        <v>20</v>
      </c>
      <c r="T20" s="12" t="s">
        <v>28</v>
      </c>
    </row>
    <row r="21" spans="3:20" x14ac:dyDescent="0.2">
      <c r="C21" s="6" t="s">
        <v>8</v>
      </c>
      <c r="D21" s="4">
        <v>6500</v>
      </c>
      <c r="F21" s="6" t="s">
        <v>8</v>
      </c>
      <c r="G21" s="4">
        <v>1850</v>
      </c>
      <c r="I21" s="6" t="s">
        <v>13</v>
      </c>
      <c r="J21" s="4">
        <v>37</v>
      </c>
      <c r="L21" s="7">
        <v>45296</v>
      </c>
      <c r="M21" s="4">
        <v>1200</v>
      </c>
      <c r="N21" s="4">
        <v>300</v>
      </c>
      <c r="O21" s="4">
        <v>2</v>
      </c>
      <c r="Q21" s="7">
        <v>45296</v>
      </c>
      <c r="R21" s="4">
        <v>1200</v>
      </c>
      <c r="S21" s="4">
        <v>300</v>
      </c>
      <c r="T21" s="4">
        <v>2</v>
      </c>
    </row>
    <row r="22" spans="3:20" x14ac:dyDescent="0.2">
      <c r="C22" s="6" t="s">
        <v>10</v>
      </c>
      <c r="D22" s="4">
        <v>2400</v>
      </c>
      <c r="F22" s="6" t="s">
        <v>13</v>
      </c>
      <c r="G22" s="4">
        <v>750</v>
      </c>
      <c r="I22" s="6" t="s">
        <v>10</v>
      </c>
      <c r="J22" s="4">
        <v>18</v>
      </c>
      <c r="L22" s="7">
        <v>45299</v>
      </c>
      <c r="M22" s="4">
        <v>800</v>
      </c>
      <c r="N22" s="4">
        <v>200</v>
      </c>
      <c r="O22" s="4">
        <v>5</v>
      </c>
      <c r="Q22" s="7">
        <v>45299</v>
      </c>
      <c r="R22" s="4">
        <v>800</v>
      </c>
      <c r="S22" s="4">
        <v>200</v>
      </c>
      <c r="T22" s="4">
        <v>5</v>
      </c>
    </row>
    <row r="23" spans="3:20" x14ac:dyDescent="0.2">
      <c r="C23" s="6" t="s">
        <v>13</v>
      </c>
      <c r="D23" s="4">
        <v>1500</v>
      </c>
      <c r="F23" s="6" t="s">
        <v>10</v>
      </c>
      <c r="G23" s="4">
        <v>680</v>
      </c>
      <c r="I23" s="6" t="s">
        <v>8</v>
      </c>
      <c r="J23" s="4">
        <v>14</v>
      </c>
      <c r="L23" s="7">
        <v>45303</v>
      </c>
      <c r="M23" s="4">
        <v>1500</v>
      </c>
      <c r="N23" s="4">
        <v>450</v>
      </c>
      <c r="O23" s="4">
        <v>3</v>
      </c>
      <c r="Q23" s="7">
        <v>45303</v>
      </c>
      <c r="R23" s="4">
        <v>1500</v>
      </c>
      <c r="S23" s="4">
        <v>450</v>
      </c>
      <c r="T23" s="4">
        <v>3</v>
      </c>
    </row>
    <row r="24" spans="3:20" x14ac:dyDescent="0.2">
      <c r="C24" s="6" t="s">
        <v>17</v>
      </c>
      <c r="D24" s="4">
        <v>10400</v>
      </c>
      <c r="F24" s="6" t="s">
        <v>17</v>
      </c>
      <c r="G24" s="4">
        <v>3280</v>
      </c>
      <c r="I24" s="6" t="s">
        <v>17</v>
      </c>
      <c r="J24" s="4">
        <v>69</v>
      </c>
      <c r="L24" s="7">
        <v>45309</v>
      </c>
      <c r="M24" s="4">
        <v>600</v>
      </c>
      <c r="N24" s="4">
        <v>250</v>
      </c>
      <c r="O24" s="4">
        <v>10</v>
      </c>
      <c r="Q24" s="7">
        <v>45309</v>
      </c>
      <c r="R24" s="4">
        <v>600</v>
      </c>
      <c r="S24" s="4">
        <v>250</v>
      </c>
      <c r="T24" s="4">
        <v>10</v>
      </c>
    </row>
    <row r="25" spans="3:20" x14ac:dyDescent="0.2">
      <c r="L25" s="7">
        <v>45313</v>
      </c>
      <c r="M25" s="4">
        <v>700</v>
      </c>
      <c r="N25" s="4">
        <v>210</v>
      </c>
      <c r="O25" s="4">
        <v>7</v>
      </c>
      <c r="Q25" s="7">
        <v>45313</v>
      </c>
      <c r="R25" s="4">
        <v>700</v>
      </c>
      <c r="S25" s="4">
        <v>210</v>
      </c>
      <c r="T25" s="4">
        <v>7</v>
      </c>
    </row>
    <row r="26" spans="3:20" x14ac:dyDescent="0.2">
      <c r="C26" s="5" t="s">
        <v>29</v>
      </c>
      <c r="D26" t="s">
        <v>30</v>
      </c>
      <c r="I26" s="5" t="s">
        <v>29</v>
      </c>
      <c r="J26" t="s">
        <v>28</v>
      </c>
      <c r="L26" s="7">
        <v>45323</v>
      </c>
      <c r="M26" s="4">
        <v>2000</v>
      </c>
      <c r="N26" s="4">
        <v>600</v>
      </c>
      <c r="O26" s="4">
        <v>4</v>
      </c>
      <c r="Q26" s="7">
        <v>45323</v>
      </c>
      <c r="R26" s="4">
        <v>2000</v>
      </c>
      <c r="S26" s="4">
        <v>600</v>
      </c>
      <c r="T26" s="4">
        <v>4</v>
      </c>
    </row>
    <row r="27" spans="3:20" x14ac:dyDescent="0.2">
      <c r="C27" s="6" t="s">
        <v>7</v>
      </c>
      <c r="D27" s="4">
        <v>3700</v>
      </c>
      <c r="F27" s="5" t="s">
        <v>29</v>
      </c>
      <c r="G27" t="s">
        <v>32</v>
      </c>
      <c r="I27" s="6" t="s">
        <v>9</v>
      </c>
      <c r="J27" s="4">
        <v>24</v>
      </c>
      <c r="L27" s="7">
        <v>45327</v>
      </c>
      <c r="M27" s="4">
        <v>500</v>
      </c>
      <c r="N27" s="4">
        <v>300</v>
      </c>
      <c r="O27" s="4">
        <v>12</v>
      </c>
      <c r="Q27" s="7">
        <v>45327</v>
      </c>
      <c r="R27" s="4">
        <v>500</v>
      </c>
      <c r="S27" s="4">
        <v>300</v>
      </c>
      <c r="T27" s="4">
        <v>12</v>
      </c>
    </row>
    <row r="28" spans="3:20" x14ac:dyDescent="0.2">
      <c r="C28" s="6" t="s">
        <v>11</v>
      </c>
      <c r="D28" s="4">
        <v>2400</v>
      </c>
      <c r="F28" s="6" t="s">
        <v>9</v>
      </c>
      <c r="G28" s="4">
        <v>1000</v>
      </c>
      <c r="I28" s="6" t="s">
        <v>12</v>
      </c>
      <c r="J28" s="4">
        <v>22</v>
      </c>
      <c r="L28" s="7">
        <v>45332</v>
      </c>
      <c r="M28" s="4">
        <v>900</v>
      </c>
      <c r="N28" s="4">
        <v>270</v>
      </c>
      <c r="O28" s="4">
        <v>6</v>
      </c>
      <c r="Q28" s="7">
        <v>45332</v>
      </c>
      <c r="R28" s="4">
        <v>900</v>
      </c>
      <c r="S28" s="4">
        <v>270</v>
      </c>
      <c r="T28" s="4">
        <v>6</v>
      </c>
    </row>
    <row r="29" spans="3:20" x14ac:dyDescent="0.2">
      <c r="C29" s="6" t="s">
        <v>12</v>
      </c>
      <c r="D29" s="4">
        <v>1100</v>
      </c>
      <c r="F29" s="6" t="s">
        <v>12</v>
      </c>
      <c r="G29" s="4">
        <v>550</v>
      </c>
      <c r="I29" s="6" t="s">
        <v>11</v>
      </c>
      <c r="J29" s="4">
        <v>9</v>
      </c>
      <c r="L29" s="7">
        <v>45337</v>
      </c>
      <c r="M29" s="4">
        <v>1800</v>
      </c>
      <c r="N29" s="4">
        <v>500</v>
      </c>
      <c r="O29" s="4">
        <v>5</v>
      </c>
      <c r="Q29" s="7">
        <v>45337</v>
      </c>
      <c r="R29" s="4">
        <v>1800</v>
      </c>
      <c r="S29" s="4">
        <v>500</v>
      </c>
      <c r="T29" s="4">
        <v>5</v>
      </c>
    </row>
    <row r="30" spans="3:20" x14ac:dyDescent="0.2">
      <c r="C30" s="6" t="s">
        <v>9</v>
      </c>
      <c r="D30" s="4">
        <v>3200</v>
      </c>
      <c r="F30" s="6" t="s">
        <v>11</v>
      </c>
      <c r="G30" s="4">
        <v>720</v>
      </c>
      <c r="I30" s="6" t="s">
        <v>7</v>
      </c>
      <c r="J30" s="4">
        <v>14</v>
      </c>
      <c r="L30" s="7">
        <v>45342</v>
      </c>
      <c r="M30" s="4">
        <v>400</v>
      </c>
      <c r="N30" s="4">
        <v>200</v>
      </c>
      <c r="O30" s="4">
        <v>15</v>
      </c>
      <c r="Q30" s="7">
        <v>45342</v>
      </c>
      <c r="R30" s="4">
        <v>400</v>
      </c>
      <c r="S30" s="4">
        <v>200</v>
      </c>
      <c r="T30" s="4">
        <v>15</v>
      </c>
    </row>
    <row r="31" spans="3:20" x14ac:dyDescent="0.2">
      <c r="C31" s="6" t="s">
        <v>17</v>
      </c>
      <c r="D31" s="4">
        <v>10400</v>
      </c>
      <c r="F31" s="6" t="s">
        <v>7</v>
      </c>
      <c r="G31" s="4">
        <v>1010</v>
      </c>
      <c r="I31" s="6" t="s">
        <v>17</v>
      </c>
      <c r="J31" s="4">
        <v>69</v>
      </c>
      <c r="L31" s="7" t="s">
        <v>17</v>
      </c>
      <c r="M31" s="4">
        <v>10400</v>
      </c>
      <c r="N31" s="4">
        <v>3280</v>
      </c>
      <c r="O31" s="4">
        <v>69</v>
      </c>
    </row>
    <row r="32" spans="3:20" x14ac:dyDescent="0.2">
      <c r="F32" s="6" t="s">
        <v>17</v>
      </c>
      <c r="G32" s="4">
        <v>3280</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zoomScale="94" workbookViewId="0">
      <selection activeCell="L9" sqref="L9"/>
    </sheetView>
  </sheetViews>
  <sheetFormatPr baseColWidth="10" defaultColWidth="8.83203125" defaultRowHeight="15" x14ac:dyDescent="0.2"/>
  <cols>
    <col min="1" max="1" width="12.1640625" bestFit="1" customWidth="1"/>
    <col min="2" max="2" width="11" bestFit="1" customWidth="1"/>
    <col min="3" max="5" width="7.6640625" bestFit="1" customWidth="1"/>
    <col min="6" max="6" width="10" bestFit="1" customWidth="1"/>
    <col min="7" max="7" width="14.6640625" bestFit="1" customWidth="1"/>
    <col min="8" max="8" width="15.1640625" bestFit="1" customWidth="1"/>
    <col min="9" max="9" width="9.83203125" bestFit="1" customWidth="1"/>
    <col min="10" max="10" width="7.6640625" bestFit="1" customWidth="1"/>
    <col min="11" max="12" width="6.6640625" bestFit="1" customWidth="1"/>
    <col min="13" max="13" width="9.33203125" bestFit="1" customWidth="1"/>
    <col min="14" max="14" width="10" bestFit="1" customWidth="1"/>
    <col min="15" max="15" width="9.33203125" bestFit="1" customWidth="1"/>
    <col min="16" max="16" width="7.5" bestFit="1" customWidth="1"/>
    <col min="17" max="17" width="9.33203125" bestFit="1" customWidth="1"/>
    <col min="18" max="18" width="7.5" bestFit="1" customWidth="1"/>
    <col min="19" max="19" width="9.33203125" bestFit="1" customWidth="1"/>
    <col min="20" max="20" width="7.5" bestFit="1" customWidth="1"/>
    <col min="21" max="21" width="9.33203125" bestFit="1" customWidth="1"/>
    <col min="22" max="22" width="10" bestFit="1" customWidth="1"/>
  </cols>
  <sheetData>
    <row r="1" spans="1:8" x14ac:dyDescent="0.2">
      <c r="A1" s="2" t="s">
        <v>0</v>
      </c>
      <c r="B1" s="2" t="s">
        <v>1</v>
      </c>
      <c r="C1" s="2" t="s">
        <v>2</v>
      </c>
      <c r="D1" s="2" t="s">
        <v>3</v>
      </c>
      <c r="E1" s="2" t="s">
        <v>4</v>
      </c>
      <c r="F1" s="2" t="s">
        <v>5</v>
      </c>
      <c r="G1" s="2" t="s">
        <v>6</v>
      </c>
      <c r="H1" s="2" t="s">
        <v>27</v>
      </c>
    </row>
    <row r="2" spans="1:8" x14ac:dyDescent="0.2">
      <c r="A2">
        <v>1001</v>
      </c>
      <c r="B2" s="3">
        <v>45296</v>
      </c>
      <c r="C2" t="s">
        <v>7</v>
      </c>
      <c r="D2" t="s">
        <v>8</v>
      </c>
      <c r="E2" s="4">
        <v>1200</v>
      </c>
      <c r="F2" s="4">
        <v>2</v>
      </c>
      <c r="G2" s="4">
        <v>300</v>
      </c>
      <c r="H2" s="10">
        <f>Table1[[#This Row],[Profit]]/Table1[[#This Row],[Sales]]</f>
        <v>0.25</v>
      </c>
    </row>
    <row r="3" spans="1:8" x14ac:dyDescent="0.2">
      <c r="A3">
        <v>1002</v>
      </c>
      <c r="B3" s="3">
        <v>45299</v>
      </c>
      <c r="C3" t="s">
        <v>9</v>
      </c>
      <c r="D3" t="s">
        <v>10</v>
      </c>
      <c r="E3" s="4">
        <v>800</v>
      </c>
      <c r="F3" s="4">
        <v>5</v>
      </c>
      <c r="G3" s="4">
        <v>200</v>
      </c>
      <c r="H3" s="10">
        <f>Table1[[#This Row],[Profit]]/Table1[[#This Row],[Sales]]</f>
        <v>0.25</v>
      </c>
    </row>
    <row r="4" spans="1:8" x14ac:dyDescent="0.2">
      <c r="A4">
        <v>1003</v>
      </c>
      <c r="B4" s="3">
        <v>45303</v>
      </c>
      <c r="C4" t="s">
        <v>11</v>
      </c>
      <c r="D4" t="s">
        <v>8</v>
      </c>
      <c r="E4" s="4">
        <v>1500</v>
      </c>
      <c r="F4" s="4">
        <v>3</v>
      </c>
      <c r="G4" s="4">
        <v>450</v>
      </c>
      <c r="H4" s="10">
        <f>Table1[[#This Row],[Profit]]/Table1[[#This Row],[Sales]]</f>
        <v>0.3</v>
      </c>
    </row>
    <row r="5" spans="1:8" x14ac:dyDescent="0.2">
      <c r="A5">
        <v>1004</v>
      </c>
      <c r="B5" s="3">
        <v>45309</v>
      </c>
      <c r="C5" t="s">
        <v>12</v>
      </c>
      <c r="D5" t="s">
        <v>13</v>
      </c>
      <c r="E5" s="4">
        <v>600</v>
      </c>
      <c r="F5" s="4">
        <v>10</v>
      </c>
      <c r="G5" s="4">
        <v>250</v>
      </c>
      <c r="H5" s="10">
        <f>Table1[[#This Row],[Profit]]/Table1[[#This Row],[Sales]]</f>
        <v>0.41666666666666669</v>
      </c>
    </row>
    <row r="6" spans="1:8" x14ac:dyDescent="0.2">
      <c r="A6">
        <v>1005</v>
      </c>
      <c r="B6" s="3">
        <v>45313</v>
      </c>
      <c r="C6" t="s">
        <v>7</v>
      </c>
      <c r="D6" t="s">
        <v>10</v>
      </c>
      <c r="E6" s="4">
        <v>700</v>
      </c>
      <c r="F6" s="4">
        <v>7</v>
      </c>
      <c r="G6" s="4">
        <v>210</v>
      </c>
      <c r="H6" s="10">
        <f>Table1[[#This Row],[Profit]]/Table1[[#This Row],[Sales]]</f>
        <v>0.3</v>
      </c>
    </row>
    <row r="7" spans="1:8" x14ac:dyDescent="0.2">
      <c r="A7">
        <v>1006</v>
      </c>
      <c r="B7" s="3">
        <v>45323</v>
      </c>
      <c r="C7" t="s">
        <v>9</v>
      </c>
      <c r="D7" t="s">
        <v>8</v>
      </c>
      <c r="E7" s="4">
        <v>2000</v>
      </c>
      <c r="F7" s="4">
        <v>4</v>
      </c>
      <c r="G7" s="4">
        <v>600</v>
      </c>
      <c r="H7" s="10">
        <f>Table1[[#This Row],[Profit]]/Table1[[#This Row],[Sales]]</f>
        <v>0.3</v>
      </c>
    </row>
    <row r="8" spans="1:8" x14ac:dyDescent="0.2">
      <c r="A8">
        <v>1007</v>
      </c>
      <c r="B8" s="3">
        <v>45327</v>
      </c>
      <c r="C8" t="s">
        <v>12</v>
      </c>
      <c r="D8" t="s">
        <v>13</v>
      </c>
      <c r="E8" s="4">
        <v>500</v>
      </c>
      <c r="F8" s="4">
        <v>12</v>
      </c>
      <c r="G8" s="4">
        <v>300</v>
      </c>
      <c r="H8" s="10">
        <f>Table1[[#This Row],[Profit]]/Table1[[#This Row],[Sales]]</f>
        <v>0.6</v>
      </c>
    </row>
    <row r="9" spans="1:8" x14ac:dyDescent="0.2">
      <c r="A9">
        <v>1008</v>
      </c>
      <c r="B9" s="3">
        <v>45332</v>
      </c>
      <c r="C9" t="s">
        <v>11</v>
      </c>
      <c r="D9" t="s">
        <v>10</v>
      </c>
      <c r="E9" s="4">
        <v>900</v>
      </c>
      <c r="F9" s="4">
        <v>6</v>
      </c>
      <c r="G9" s="4">
        <v>270</v>
      </c>
      <c r="H9" s="10">
        <f>Table1[[#This Row],[Profit]]/Table1[[#This Row],[Sales]]</f>
        <v>0.3</v>
      </c>
    </row>
    <row r="10" spans="1:8" x14ac:dyDescent="0.2">
      <c r="A10">
        <v>1009</v>
      </c>
      <c r="B10" s="3">
        <v>45337</v>
      </c>
      <c r="C10" t="s">
        <v>7</v>
      </c>
      <c r="D10" t="s">
        <v>8</v>
      </c>
      <c r="E10" s="4">
        <v>1800</v>
      </c>
      <c r="F10" s="4">
        <v>5</v>
      </c>
      <c r="G10" s="4">
        <v>500</v>
      </c>
      <c r="H10" s="10">
        <f>Table1[[#This Row],[Profit]]/Table1[[#This Row],[Sales]]</f>
        <v>0.27777777777777779</v>
      </c>
    </row>
    <row r="11" spans="1:8" x14ac:dyDescent="0.2">
      <c r="A11">
        <v>1010</v>
      </c>
      <c r="B11" s="3">
        <v>45342</v>
      </c>
      <c r="C11" t="s">
        <v>9</v>
      </c>
      <c r="D11" t="s">
        <v>13</v>
      </c>
      <c r="E11" s="4">
        <v>400</v>
      </c>
      <c r="F11" s="4">
        <v>15</v>
      </c>
      <c r="G11" s="4">
        <v>200</v>
      </c>
      <c r="H11" s="10">
        <f>Table1[[#This Row],[Profit]]/Table1[[#This Row],[Sales]]</f>
        <v>0.5</v>
      </c>
    </row>
    <row r="12" spans="1:8" x14ac:dyDescent="0.2">
      <c r="A12" s="1" t="s">
        <v>14</v>
      </c>
      <c r="D12" s="1"/>
      <c r="E12" s="8">
        <f>SUM(Table1[Sales])</f>
        <v>10400</v>
      </c>
      <c r="F12" s="8">
        <f>SUM(Table1[Quantity])</f>
        <v>69</v>
      </c>
      <c r="G12" s="8">
        <f>SUM(Table1[Profit])</f>
        <v>3280</v>
      </c>
    </row>
    <row r="13" spans="1:8" x14ac:dyDescent="0.2">
      <c r="A13" s="1" t="s">
        <v>15</v>
      </c>
      <c r="E13" s="8">
        <f>AVERAGE(Table1[Sales])</f>
        <v>1040</v>
      </c>
      <c r="F13" s="4">
        <f>AVERAGE(Table1[Quantity])</f>
        <v>6.9</v>
      </c>
      <c r="G13" s="4">
        <f>AVERAGE(Table1[Profit])</f>
        <v>328</v>
      </c>
    </row>
    <row r="15" spans="1:8" x14ac:dyDescent="0.2">
      <c r="A15" s="1" t="s">
        <v>19</v>
      </c>
      <c r="B15" s="1"/>
    </row>
    <row r="17" spans="1:7" x14ac:dyDescent="0.2">
      <c r="A17" s="2" t="s">
        <v>0</v>
      </c>
      <c r="B17" s="2" t="s">
        <v>1</v>
      </c>
      <c r="C17" s="2" t="s">
        <v>2</v>
      </c>
      <c r="D17" s="2" t="s">
        <v>3</v>
      </c>
      <c r="E17" s="2" t="s">
        <v>4</v>
      </c>
      <c r="F17" s="2" t="s">
        <v>5</v>
      </c>
      <c r="G17" s="2" t="s">
        <v>6</v>
      </c>
    </row>
    <row r="18" spans="1:7" x14ac:dyDescent="0.2">
      <c r="A18">
        <v>1001</v>
      </c>
      <c r="B18" s="3">
        <v>45296</v>
      </c>
      <c r="C18" t="s">
        <v>7</v>
      </c>
      <c r="D18" t="s">
        <v>8</v>
      </c>
      <c r="E18" s="4">
        <v>1200</v>
      </c>
      <c r="F18" s="4">
        <v>2</v>
      </c>
      <c r="G18" s="4">
        <v>300</v>
      </c>
    </row>
    <row r="19" spans="1:7" x14ac:dyDescent="0.2">
      <c r="A19">
        <v>1005</v>
      </c>
      <c r="B19" s="3">
        <v>45313</v>
      </c>
      <c r="C19" t="s">
        <v>7</v>
      </c>
      <c r="D19" t="s">
        <v>10</v>
      </c>
      <c r="E19" s="4">
        <v>700</v>
      </c>
      <c r="F19" s="4">
        <v>7</v>
      </c>
      <c r="G19" s="4">
        <v>210</v>
      </c>
    </row>
    <row r="20" spans="1:7" x14ac:dyDescent="0.2">
      <c r="A20">
        <v>1009</v>
      </c>
      <c r="B20" s="3">
        <v>45337</v>
      </c>
      <c r="C20" t="s">
        <v>7</v>
      </c>
      <c r="D20" t="s">
        <v>8</v>
      </c>
      <c r="E20" s="4">
        <v>1800</v>
      </c>
      <c r="F20" s="4">
        <v>5</v>
      </c>
      <c r="G20" s="4">
        <v>500</v>
      </c>
    </row>
    <row r="22" spans="1:7" x14ac:dyDescent="0.2">
      <c r="A22" s="1" t="s">
        <v>21</v>
      </c>
      <c r="B22" s="1"/>
    </row>
    <row r="23" spans="1:7" x14ac:dyDescent="0.2">
      <c r="A23" s="5" t="s">
        <v>18</v>
      </c>
      <c r="B23" t="s">
        <v>20</v>
      </c>
    </row>
    <row r="24" spans="1:7" x14ac:dyDescent="0.2">
      <c r="A24" s="6" t="s">
        <v>8</v>
      </c>
      <c r="B24" s="4">
        <v>1850</v>
      </c>
    </row>
    <row r="25" spans="1:7" x14ac:dyDescent="0.2">
      <c r="A25" s="6" t="s">
        <v>13</v>
      </c>
      <c r="B25" s="4">
        <v>750</v>
      </c>
    </row>
    <row r="26" spans="1:7" x14ac:dyDescent="0.2">
      <c r="A26" s="6" t="s">
        <v>10</v>
      </c>
      <c r="B26" s="4">
        <v>680</v>
      </c>
    </row>
    <row r="27" spans="1:7" x14ac:dyDescent="0.2">
      <c r="A27" s="6" t="s">
        <v>17</v>
      </c>
      <c r="B27" s="4">
        <v>3280</v>
      </c>
    </row>
    <row r="28" spans="1:7" x14ac:dyDescent="0.2">
      <c r="A28" s="9" t="s">
        <v>23</v>
      </c>
    </row>
    <row r="29" spans="1:7" x14ac:dyDescent="0.2">
      <c r="B29" s="5" t="s">
        <v>16</v>
      </c>
    </row>
    <row r="30" spans="1:7" x14ac:dyDescent="0.2">
      <c r="B30" t="s">
        <v>7</v>
      </c>
      <c r="C30" t="s">
        <v>11</v>
      </c>
      <c r="D30" t="s">
        <v>12</v>
      </c>
      <c r="E30" t="s">
        <v>9</v>
      </c>
      <c r="F30" t="s">
        <v>17</v>
      </c>
    </row>
    <row r="31" spans="1:7" x14ac:dyDescent="0.2">
      <c r="A31" t="s">
        <v>22</v>
      </c>
      <c r="B31" s="4">
        <v>3700</v>
      </c>
      <c r="C31" s="4">
        <v>2400</v>
      </c>
      <c r="D31" s="4">
        <v>1100</v>
      </c>
      <c r="E31" s="4">
        <v>3200</v>
      </c>
      <c r="F31" s="4">
        <v>10400</v>
      </c>
    </row>
    <row r="32" spans="1:7" x14ac:dyDescent="0.2">
      <c r="A32" s="1" t="s">
        <v>24</v>
      </c>
    </row>
    <row r="33" spans="1:5" x14ac:dyDescent="0.2">
      <c r="B33" s="5" t="s">
        <v>16</v>
      </c>
    </row>
    <row r="34" spans="1:5" x14ac:dyDescent="0.2">
      <c r="B34" t="s">
        <v>10</v>
      </c>
      <c r="C34" t="s">
        <v>13</v>
      </c>
      <c r="D34" t="s">
        <v>8</v>
      </c>
      <c r="E34" t="s">
        <v>17</v>
      </c>
    </row>
    <row r="35" spans="1:5" x14ac:dyDescent="0.2">
      <c r="A35" t="s">
        <v>20</v>
      </c>
      <c r="B35" s="4">
        <v>680</v>
      </c>
      <c r="C35" s="4">
        <v>750</v>
      </c>
      <c r="D35" s="4">
        <v>1850</v>
      </c>
      <c r="E35" s="4">
        <v>3280</v>
      </c>
    </row>
    <row r="37" spans="1:5" x14ac:dyDescent="0.2">
      <c r="A37" s="1" t="s">
        <v>25</v>
      </c>
    </row>
    <row r="50" spans="1:1" x14ac:dyDescent="0.2">
      <c r="A50" s="1" t="s">
        <v>26</v>
      </c>
    </row>
  </sheetData>
  <conditionalFormatting sqref="H2:H11">
    <cfRule type="cellIs" dxfId="1" priority="1" operator="lessThan">
      <formula>0.3</formula>
    </cfRule>
    <cfRule type="cellIs" dxfId="0" priority="2" operator="lessThan">
      <formula>0.2</formula>
    </cfRule>
  </conditionalFormatting>
  <pageMargins left="0.75" right="0.75" top="1" bottom="1" header="0.5" footer="0.5"/>
  <drawing r:id="rId4"/>
  <tableParts count="1">
    <tablePart r:id="rId5"/>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Sam Leslie</cp:lastModifiedBy>
  <dcterms:created xsi:type="dcterms:W3CDTF">2025-09-17T17:06:28Z</dcterms:created>
  <dcterms:modified xsi:type="dcterms:W3CDTF">2025-11-21T23:05:40Z</dcterms:modified>
</cp:coreProperties>
</file>